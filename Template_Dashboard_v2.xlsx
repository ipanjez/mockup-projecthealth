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365mic-my.sharepoint.com/personal/ipanjez_365mic_onmicrosoft_com/Documents/Learn/Coding/Dashboard Proyek Soda Ash/"/>
    </mc:Choice>
  </mc:AlternateContent>
  <xr:revisionPtr revIDLastSave="125" documentId="11_FBD64D39D349D756657D4B1399D967C19B799422" xr6:coauthVersionLast="47" xr6:coauthVersionMax="47" xr10:uidLastSave="{B5E05A04-893E-4398-BD0D-0B79E4C17403}"/>
  <bookViews>
    <workbookView xWindow="-98" yWindow="-98" windowWidth="21795" windowHeight="12975" tabRatio="500" activeTab="1" xr2:uid="{00000000-000D-0000-FFFF-FFFF00000000}"/>
  </bookViews>
  <sheets>
    <sheet name="Dashboard" sheetId="1" r:id="rId1"/>
    <sheet name="Referensi_Threshold" sheetId="2" r:id="rId2"/>
    <sheet name="Input_Bulanan" sheetId="3" r:id="rId3"/>
    <sheet name="Risk_Action_Tracker" sheetId="4" r:id="rId4"/>
  </sheets>
  <definedNames>
    <definedName name="_xlnm.Print_Area" localSheetId="0">Dashboard!$A$1:$W$37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K6" i="1"/>
  <c r="B6" i="1"/>
  <c r="I77" i="3"/>
  <c r="H77" i="3"/>
  <c r="I76" i="3"/>
  <c r="H76" i="3"/>
  <c r="I75" i="3"/>
  <c r="H75" i="3"/>
  <c r="I74" i="3"/>
  <c r="H74" i="3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D53" i="3"/>
  <c r="P18" i="1" s="1"/>
  <c r="D38" i="3"/>
  <c r="D29" i="3"/>
  <c r="D22" i="3"/>
  <c r="D14" i="3"/>
  <c r="E16" i="1" s="1"/>
  <c r="D13" i="3"/>
  <c r="E14" i="1" s="1"/>
  <c r="D12" i="3"/>
  <c r="E15" i="1" s="1"/>
  <c r="D11" i="3"/>
  <c r="K33" i="1"/>
  <c r="K32" i="1"/>
  <c r="K31" i="1"/>
  <c r="K30" i="1"/>
  <c r="K29" i="1"/>
  <c r="K28" i="1"/>
  <c r="P24" i="1"/>
  <c r="P23" i="1"/>
  <c r="P22" i="1"/>
  <c r="P21" i="1"/>
  <c r="P17" i="1"/>
  <c r="R16" i="1"/>
  <c r="P16" i="1"/>
  <c r="R15" i="1"/>
  <c r="P15" i="1"/>
  <c r="J15" i="1"/>
  <c r="R14" i="1"/>
  <c r="P14" i="1"/>
  <c r="J14" i="1"/>
  <c r="R13" i="1"/>
  <c r="P13" i="1"/>
  <c r="J13" i="1"/>
  <c r="B2" i="1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C20" i="4"/>
  <c r="C19" i="4"/>
  <c r="C18" i="4"/>
  <c r="C17" i="4"/>
  <c r="Z15" i="4"/>
  <c r="Z14" i="4"/>
  <c r="Z13" i="4"/>
  <c r="Z12" i="4"/>
  <c r="Z11" i="4"/>
  <c r="Z10" i="4"/>
  <c r="Z9" i="4"/>
  <c r="Z8" i="4"/>
  <c r="Z7" i="4"/>
  <c r="Z6" i="4"/>
  <c r="B36" i="1" s="1"/>
  <c r="G27" i="4" l="1"/>
  <c r="S16" i="1"/>
  <c r="S15" i="1"/>
  <c r="G26" i="4"/>
  <c r="S14" i="1"/>
  <c r="G25" i="4"/>
  <c r="S13" i="1"/>
  <c r="G24" i="4"/>
  <c r="N33" i="1"/>
  <c r="M33" i="1"/>
  <c r="O33" i="1"/>
  <c r="M32" i="1"/>
  <c r="N32" i="1"/>
  <c r="O32" i="1"/>
  <c r="O31" i="1"/>
  <c r="M31" i="1"/>
  <c r="N31" i="1"/>
  <c r="M30" i="1"/>
  <c r="N30" i="1"/>
  <c r="O30" i="1"/>
  <c r="M29" i="1"/>
  <c r="N29" i="1"/>
  <c r="O29" i="1"/>
  <c r="M28" i="1"/>
  <c r="N28" i="1"/>
  <c r="O28" i="1"/>
  <c r="D43" i="3"/>
  <c r="K10" i="1"/>
  <c r="D42" i="3"/>
  <c r="K8" i="1"/>
  <c r="D41" i="3"/>
  <c r="D44" i="3" s="1"/>
  <c r="E13" i="1"/>
  <c r="B10" i="1"/>
  <c r="M10" i="1" l="1"/>
  <c r="D45" i="3"/>
  <c r="M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tc={B9DD1392-BF6A-4F7C-A6A5-C5BF8D948BD4}</author>
    <author>Unknown Author</author>
  </authors>
  <commentList>
    <comment ref="R5" authorId="0" shapeId="0" xr:uid="{B9DD1392-BF6A-4F7C-A6A5-C5BF8D948BD4}">
      <text>
        <t>[Threaded comment]
Your version of Excel allows you to read this threaded comment; however, any edits to it will get removed if the file is opened in a newer version of Excel. Learn more: https://go.microsoft.com/fwlink/?linkid=870924
Comment:
    Peta Risiko L nya vertikal, C nya horizontal</t>
      </text>
    </comment>
    <comment ref="B6" authorId="1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Komposit 5 pilar kesehatan (Financial, Schedule, SRI, PEI, CRI) masing-masing berbobot 20%.</t>
        </r>
      </text>
    </comment>
    <comment ref="G6" authorId="1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Kesiapan hulu: kontrak garam, inventori, kualifikasi pemasok, kesiapan pelabuhan &amp; utilitas.</t>
        </r>
      </text>
    </comment>
    <comment ref="M6" authorId="1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5 tingkat sesuai Pedoman Manajemen Risiko PKT: Low / Low to Moderate / Moderate / Moderate to High / High.</t>
        </r>
      </text>
    </comment>
    <comment ref="G8" authorId="1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Progres fisik EPC: engineering, procurement, construction, commissioning preparation.</t>
        </r>
      </text>
    </comment>
    <comment ref="G10" authorId="1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Kesiapan komersial: offtake, strategi pemasaran, distribusi, tim operasi, kualifikasi produk.</t>
        </r>
      </text>
    </comment>
    <comment ref="B13" authorId="1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CPI = EV/AC. Mengukur efisiensi biaya: &gt;=1,00 berarti proyek di bawah/sesuai anggaran.</t>
        </r>
      </text>
    </comment>
    <comment ref="B14" authorId="1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SPI = EV/PV. Mengukur kepatuhan jadwal terhadap master schedule baseline.</t>
        </r>
      </text>
    </comment>
    <comment ref="B15" authorId="1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CV = EV-AC. Nilai negatif berarti pembengkakan biaya (cost overrun).</t>
        </r>
      </text>
    </comment>
    <comment ref="B16" authorId="1" shapeId="0" xr:uid="{00000000-0006-0000-0000-000009000000}">
      <text>
        <r>
          <rPr>
            <sz val="11"/>
            <color theme="1"/>
            <rFont val="Calibri"/>
            <family val="2"/>
            <charset val="1"/>
          </rPr>
          <t>SV = EV-PV. Nilai negatif berarti keterlambatan progres terhadap rencana.</t>
        </r>
      </text>
    </comment>
    <comment ref="M21" authorId="1" shapeId="0" xr:uid="{00000000-0006-0000-0000-00000A000000}">
      <text>
        <r>
          <rPr>
            <sz val="11"/>
            <color theme="1"/>
            <rFont val="Calibri"/>
            <family val="2"/>
            <charset val="1"/>
          </rPr>
          <t>Persentase rencana mitigasi yang telah selesai dilaksanakan dari total rencana aksi.</t>
        </r>
      </text>
    </comment>
    <comment ref="M22" authorId="1" shapeId="0" xr:uid="{00000000-0006-0000-0000-00000B000000}">
      <text>
        <r>
          <rPr>
            <sz val="11"/>
            <color theme="1"/>
            <rFont val="Calibri"/>
            <family val="2"/>
            <charset val="1"/>
          </rPr>
          <t>Persentase mitigasi yang berjalan sesuai linimasa rencana.</t>
        </r>
      </text>
    </comment>
    <comment ref="M23" authorId="1" shapeId="0" xr:uid="{00000000-0006-0000-0000-00000C000000}">
      <text>
        <r>
          <rPr>
            <sz val="11"/>
            <color theme="1"/>
            <rFont val="Calibri"/>
            <family val="2"/>
            <charset val="1"/>
          </rPr>
          <t>Persentase aksi mitigasi yang telah melewati batas waktu penyelesaian.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tc={C20A8778-28FA-465F-A8ED-DDA081087E76}</author>
    <author>tc={18281803-C38B-4547-B84B-0772199CD57F}</author>
    <author>tc={8AC54FF4-8EEE-43E7-86D8-9BC271053192}</author>
    <author>tc={9272A71A-47D7-4D6C-B2E5-943687BB0ADF}</author>
  </authors>
  <commentList>
    <comment ref="C8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Rencana nilai pekerjaan yang seharusnya diselesaikan pada periode pelaporan berjalan sesuai kurva rencana (S-Curve Baseline).</t>
        </r>
      </text>
    </comment>
    <comment ref="C9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Nilai anggaran dari pekerjaan yang telah diselesaikan secara fisik di lapangan.</t>
        </r>
      </text>
    </comment>
    <comment ref="C10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Total pengeluaran biaya aktual yang telah dibayarkan dan tercatat dalam pembukuan keuangan proyek.</t>
        </r>
      </text>
    </comment>
    <comment ref="C17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Kepastian kontrak pasokan garam industri jangka panjang dengan PT Garam / pemasok luar negeri.</t>
        </r>
      </text>
    </comment>
    <comment ref="C18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Kesiapan &amp; kapasitas gudang penyimpanan garam di pelabuhan dan lokasi pabrik.</t>
        </r>
      </text>
    </comment>
    <comment ref="C19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Pemenuhan kualifikasi teknis &amp; standar kualitas garam dari calon pemasok.
Sub Contract, terkait den</t>
        </r>
      </text>
    </comment>
    <comment ref="C20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Kesiapan fasilitas pelabuhan, armada kapal logistik, jalur bongkar muat garam.</t>
        </r>
      </text>
    </comment>
    <comment ref="C21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Kesiapan tie-in gas bumi (SKK Migas), air proses, uap panas, daya listrik.</t>
        </r>
      </text>
    </comment>
    <comment ref="C25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Penyelesaian gambar kerja detail (DED), spesifikasi teknis, persetujuan vendor drawings.</t>
        </r>
      </text>
    </comment>
    <comment ref="C26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Kemajuan pengadaan barang, khususnya long lead items (menara karbonasi, kiln, reaktor).</t>
        </r>
      </text>
    </comment>
    <comment ref="C27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Kemajuan fisik konstruksi sipil, pondasi, struktur baja, mekanikal, kelistrikan, pemipaan.</t>
        </r>
      </text>
    </comment>
    <comment ref="C28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Dokumen prosedur pengujian, tim start-up, Loop Test instrumen, suku cadang awal.</t>
        </r>
      </text>
    </comment>
    <comment ref="C33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Volume produk terikat MOU/Offtake Agreement dengan pembeli domestik.</t>
        </r>
      </text>
    </comment>
    <comment ref="C34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Kesiapan strategi harga kompetitif terhadap produk impor &amp; diversifikasi varian.</t>
        </r>
      </text>
    </comment>
    <comment ref="C35" authorId="0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Logistik pengiriman: bagging unit, armada darat, konveyor pelabuhan.</t>
        </r>
      </text>
    </comment>
    <comment ref="C36" authorId="0" shapeId="0" xr:uid="{00000000-0006-0000-0200-000010000000}">
      <text>
        <r>
          <rPr>
            <sz val="11"/>
            <color theme="1"/>
            <rFont val="Calibri"/>
            <family val="2"/>
            <charset val="1"/>
          </rPr>
          <t>Sertifikasi operator, SOP pengoperasian, pelatihan simulasi darurat.</t>
        </r>
      </text>
    </comment>
    <comment ref="C37" authorId="0" shapeId="0" xr:uid="{00000000-0006-0000-0200-000011000000}">
      <text>
        <r>
          <rPr>
            <sz val="11"/>
            <color theme="1"/>
            <rFont val="Calibri"/>
            <family val="2"/>
            <charset val="1"/>
          </rPr>
          <t>Kesiapan laboratorium mutu &amp; sertifikasi SNI untuk industri premium.</t>
        </r>
      </text>
    </comment>
    <comment ref="C63" authorId="1" shapeId="0" xr:uid="{C20A8778-28FA-465F-A8ED-DDA081087E7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Shipment, Delay dengan tolerance (On Time, sudah Waspada)</t>
      </text>
    </comment>
    <comment ref="C64" authorId="2" shapeId="0" xr:uid="{18281803-C38B-4547-B84B-0772199CD5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Progress</t>
      </text>
    </comment>
    <comment ref="C65" authorId="3" shapeId="0" xr:uid="{8AC54FF4-8EEE-43E7-86D8-9BC27105319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Offtaker Agreement</t>
      </text>
    </comment>
    <comment ref="C66" authorId="4" shapeId="0" xr:uid="{9272A71A-47D7-4D6C-B2E5-943687BB0ADF}">
      <text>
        <t>[Threaded comment]
Your version of Excel allows you to read this threaded comment; however, any edits to it will get removed if the file is opened in a newer version of Excel. Learn more: https://go.microsoft.com/fwlink/?linkid=870924
Comment:
    Bobot EPC A B C D</t>
      </text>
    </comment>
  </commentList>
</comments>
</file>

<file path=xl/sharedStrings.xml><?xml version="1.0" encoding="utf-8"?>
<sst xmlns="http://schemas.openxmlformats.org/spreadsheetml/2006/main" count="527" uniqueCount="412">
  <si>
    <t>EXECUTIVE ACTION TRACKER — DIREKSI / PROJECT STEERING COMMITTEE (PSC)</t>
  </si>
  <si>
    <t>No</t>
  </si>
  <si>
    <t>Isu Strategis / Peristiwa Risiko Kritis</t>
  </si>
  <si>
    <t>Kategori &amp; Level Risiko</t>
  </si>
  <si>
    <t>Keputusan &amp; Rencana Tindakan Diperlukan</t>
  </si>
  <si>
    <t>PIC (Unit Penanggung Jawab)</t>
  </si>
  <si>
    <t>Perkiraan Dampak Finansial &amp; Kelayakan NPV</t>
  </si>
  <si>
    <t>Helper Priority Score</t>
  </si>
  <si>
    <t>1</t>
  </si>
  <si>
    <t>Ketergantungan Antarmuka (Interface) Lintas EPC-A, B, C, D</t>
  </si>
  <si>
    <t>Eksekusi — High</t>
  </si>
  <si>
    <t>Mengesahkan pembentukan tim Interface Coordinator dan menerapkan Interface Management Plan (IMP) yang mengikat seluruh kontraktor; mengharuskan Rekind menyelaraskan jadwal penyusunan gambar detail dengan kemajuan ISBL EPC-A.</t>
  </si>
  <si>
    <t>Mencegah kegagalan penyelesaian proyek bersamaan, mengamankan target COD Maret 2028, melindungi NPV sebesar USD 77,60 Juta.</t>
  </si>
  <si>
    <t>2</t>
  </si>
  <si>
    <t>Keterbatasan Kapasitas Keuangan Rekind (EPC-B)</t>
  </si>
  <si>
    <t>Finansial — Moderate to High</t>
  </si>
  <si>
    <t>Melindungi penyelesaian gardu kelistrikan dan fasilitas tie-in, menghindari denda klaim tambahan dari EPC-A.</t>
  </si>
  <si>
    <t>3</t>
  </si>
  <si>
    <t>Kelangkaan &amp; Hambatan Perizinan Impor Garam Industri</t>
  </si>
  <si>
    <t>Hulu / Supply — Moderate to High</t>
  </si>
  <si>
    <t>Lobi aktif dan koordinasi dengan Kementerian Perindustrian serta Kementerian Kelautan dan Perikanan guna mengamankan alokasi kuota impor tahunan setahun sebelum operasional dimulai, merujuk Perpres No.17/2025.</t>
  </si>
  <si>
    <t>Menghindari penghentian operasional akibat kekosongan bahan baku; menghemat potensi kerugian EBITDA Rp 137 Miliar/kuartal.</t>
  </si>
  <si>
    <t>4</t>
  </si>
  <si>
    <t>Fluktuasi Nilai Tukar Valas Terhadap Sisa Pembayaran Kontrak EPC-A</t>
  </si>
  <si>
    <t>Keuangan — Moderate</t>
  </si>
  <si>
    <t>Menginstruksikan Kompartemen Keuangan mengimplementasikan strategi hedging valas (forward/opsi) bekerja sama dengan bank BUMN nasional untuk mengunci porsi sisa pembayaran dalam USD.</t>
  </si>
  <si>
    <t>Mengeliminasi risiko pembengkakan biaya investasi riil akibat depresiasi rupiah; mengamankan ambang batas investasi USD 297,67 Juta.</t>
  </si>
  <si>
    <t>5</t>
  </si>
  <si>
    <t>Hambatan Penerbitan PBG &amp; SLF di Lahan Tursina Barat</t>
  </si>
  <si>
    <t>Regulasi — Moderate</t>
  </si>
  <si>
    <t>Mencegah keterlambatan masa efektif konstruksi fisik; menghemat opportunity cost of capital senilai Rp 500 Juta/bulan.</t>
  </si>
  <si>
    <t>DINAMIKA PERGERAKAN RISIKO (BULAN BERJALAN)</t>
  </si>
  <si>
    <t>Risiko Baru (New Risk)</t>
  </si>
  <si>
    <t>Perubahan tarif pajak masukan impor garam industri; risiko sengketa lahan tambahan di area laydown.</t>
  </si>
  <si>
    <t>Risiko Eskalasi (Escalated Risk)</t>
  </si>
  <si>
    <t>Peningkatan level risiko keterlambatan Rekind akibat kendala arus kas internal.</t>
  </si>
  <si>
    <t>Risiko Menurun (Reduced Risk)</t>
  </si>
  <si>
    <t>Penurunan risiko dampak sosial setelah disepakatinya kuota tenaga kerja lokal.</t>
  </si>
  <si>
    <t>Risiko Ditutup (Closed Risk)</t>
  </si>
  <si>
    <t>Penutupan risiko kelayakan AMDAL seiring diterbitkannya izin adendum lingkungan DLH Bontang.</t>
  </si>
  <si>
    <t>TOP RISK REGISTER (C1-C4) - DETAIL LIKELIHOOD x CONSEQUENCE</t>
  </si>
  <si>
    <t>Kode</t>
  </si>
  <si>
    <t>Deskripsi Risiko</t>
  </si>
  <si>
    <t>Kategori</t>
  </si>
  <si>
    <t>L</t>
  </si>
  <si>
    <t>C</t>
  </si>
  <si>
    <t>Score / Level</t>
  </si>
  <si>
    <t>PANEL A - PROJECT HEALTH OVERVIEW (Retrospective Performance)</t>
  </si>
  <si>
    <t>PANEL B - CURRENT RISK EXPOSURE (Prospective Threats)</t>
  </si>
  <si>
    <t>Overall Project Health Score (PHS)</t>
  </si>
  <si>
    <t>Sub-Index Readiness &amp; Performance</t>
  </si>
  <si>
    <t>Overall Risk Level (Composite)</t>
  </si>
  <si>
    <t>Risk Profile Heat Map (Likelihood x Consequence)</t>
  </si>
  <si>
    <t>Supply Readiness Index (SRI)</t>
  </si>
  <si>
    <t>Project Execution Index (PEI)</t>
  </si>
  <si>
    <t>Commercial Readiness Index (CRI)</t>
  </si>
  <si>
    <t>Key Financial &amp; Schedule</t>
  </si>
  <si>
    <t>Master Schedule S-Curve (USD Juta)</t>
  </si>
  <si>
    <t>Risk Register - Risiko Aktif</t>
  </si>
  <si>
    <t>Legenda Top Risk (C1-C4)</t>
  </si>
  <si>
    <t>Cost Performance Index (CPI)</t>
  </si>
  <si>
    <t>Planned Value (PV)</t>
  </si>
  <si>
    <t>High</t>
  </si>
  <si>
    <t>Schedule Performance Index (SPI)</t>
  </si>
  <si>
    <t>Earned Value (EV)</t>
  </si>
  <si>
    <t>Moderate to High</t>
  </si>
  <si>
    <t>Cost Variance (CV), USD Juta</t>
  </si>
  <si>
    <t>Actual Cost (AC)</t>
  </si>
  <si>
    <t>Moderate</t>
  </si>
  <si>
    <t>Schedule Variance (SV), USD Juta</t>
  </si>
  <si>
    <t>(Bar proporsional: lihat conditional formatting / grafik pada versi HTML)</t>
  </si>
  <si>
    <t>Low to Moderate</t>
  </si>
  <si>
    <t>Low</t>
  </si>
  <si>
    <t>Total Risiko Aktif</t>
  </si>
  <si>
    <t>Catatan Metodologi</t>
  </si>
  <si>
    <t>Mitigation Health Progress</t>
  </si>
  <si>
    <t>Completed Mitigations</t>
  </si>
  <si>
    <t>On Track Mitigations</t>
  </si>
  <si>
    <t>Overdue Actions</t>
  </si>
  <si>
    <t>Need Escalation (jumlah aksi)</t>
  </si>
  <si>
    <t>PANEL C - EARLY WARNING SYSTEM (EWS) ALERTS</t>
  </si>
  <si>
    <t>Parameter</t>
  </si>
  <si>
    <t>Threshold</t>
  </si>
  <si>
    <t>Aktual</t>
  </si>
  <si>
    <t>Aman</t>
  </si>
  <si>
    <t>Waspada</t>
  </si>
  <si>
    <t>Bahaya</t>
  </si>
  <si>
    <t>Implikasi Operasional &amp; Finansial</t>
  </si>
  <si>
    <t>Salt Inventory (hari ketahanan)</t>
  </si>
  <si>
    <t>Min. 30 hari</t>
  </si>
  <si>
    <t>Menimbulkan risiko penghentian mendadak kiln kalsinasi akibat keterlambatan kapal bersandar.</t>
  </si>
  <si>
    <t>Procurement Progress (%)</t>
  </si>
  <si>
    <t>Min. 80%</t>
  </si>
  <si>
    <t>Menunda kedatangan material pemipaan di area penukar panas utama.</t>
  </si>
  <si>
    <t>Project SPI</t>
  </si>
  <si>
    <t>SPI &gt;= 1,00</t>
  </si>
  <si>
    <t>Proyek terlambat 6% dari baseline rencana, mengancam target penyelesaian Maret 2028.</t>
  </si>
  <si>
    <t>Supplier Qualification (%)</t>
  </si>
  <si>
    <t>100% terverifikasi</t>
  </si>
  <si>
    <t>Garam domestik berisiko kadar kalsium tinggi, berpotensi menyumbat tower karbonasi.</t>
  </si>
  <si>
    <t>Commissioning Readiness (%)</t>
  </si>
  <si>
    <t>Min. 60%</t>
  </si>
  <si>
    <t>Menunda masa uji coba fungsional alat berputar dan utilitas utama di ISBL.</t>
  </si>
  <si>
    <t>Product Qualification (%)</t>
  </si>
  <si>
    <t>Min. 50%</t>
  </si>
  <si>
    <t>Potensi penolakan serapan pasar untuk aplikasi industri kaca lembaran (produk premium).</t>
  </si>
  <si>
    <t>PANEL D - EXECUTIVE ACTIONS &amp; DECISION REQUIRED</t>
  </si>
  <si>
    <t>Rincian lengkap: lihat sheet 'Risk_Action_Tracker' - Executive Action Tracker Direksi/PSC.</t>
  </si>
  <si>
    <t>REFERENSI FORMULA &amp; AMBANG BATAS (THRESHOLD) — PROJECT RISK &amp; HEALTH DASHBOARD</t>
  </si>
  <si>
    <t>1. LIMA PILAR KESEHATAN PROYEK (PROJECT HEALTH) &amp; FORMULA</t>
  </si>
  <si>
    <t>Pilar</t>
  </si>
  <si>
    <t>Indikator Utama</t>
  </si>
  <si>
    <t>Formula</t>
  </si>
  <si>
    <t>Bobot dalam PHS</t>
  </si>
  <si>
    <t>Sumber / Referensi</t>
  </si>
  <si>
    <t>Financial Health</t>
  </si>
  <si>
    <t>Cost Performance Index (CPI)
Cost Variance (CV)</t>
  </si>
  <si>
    <t>CPI = EV / AC
CV = EV - AC</t>
  </si>
  <si>
    <t>20%</t>
  </si>
  <si>
    <t>Earned Value Management (EVM) - PMI Standard; ScheduleReader.com, 'Managing Project Health with SPI &amp; CPI'</t>
  </si>
  <si>
    <t>Schedule Health</t>
  </si>
  <si>
    <t>Schedule Performance Index (SPI)
Schedule Variance (SV)</t>
  </si>
  <si>
    <t>SPI = EV / PV
SV = EV - PV</t>
  </si>
  <si>
    <t>Earned Value Management (EVM) - PMI Standard; ScheduleReader.com</t>
  </si>
  <si>
    <t>5 parameter tertimbang pasokan (supply chain)</t>
  </si>
  <si>
    <t>SRI = S (Wi x Si)</t>
  </si>
  <si>
    <t>4 parameter tertimbang pelaksanaan EPC</t>
  </si>
  <si>
    <t>PEI = S (Pj x Wj)</t>
  </si>
  <si>
    <t>5 parameter tertimbang kesiapan komersial</t>
  </si>
  <si>
    <t>CRI = S (Wk x Sk)</t>
  </si>
  <si>
    <t>PHS = (FinancialScore x 0,20) + (ScheduleScore x 0,20) + (SRI x 0,20) + (PEI x 0,20) + (CRI x 0,20)</t>
  </si>
  <si>
    <t>Catatan: FinancialScore &amp; ScheduleScore dikonversi dari CPI/SPI. Jika indeks &gt;= 1,00, skor = 100 (maksimal). Jika &lt; 1,00, skor = indeks x 100.</t>
  </si>
  <si>
    <t>2. PARAMETER &amp; BOBOT SUPPLY READINESS INDEX (SRI)</t>
  </si>
  <si>
    <t>Bobot</t>
  </si>
  <si>
    <t>Deskripsi</t>
  </si>
  <si>
    <t>Salt Contract</t>
  </si>
  <si>
    <t>Kepastian kontrak pasokan bahan baku garam industri jangka panjang dengan PT Garam maupun pemasok luar negeri.</t>
  </si>
  <si>
    <t>Salt Inventory</t>
  </si>
  <si>
    <t>Kesiapan &amp; kapasitas operasional gudang penyimpanan garam di pelabuhan dan lokasi pabrik.</t>
  </si>
  <si>
    <t>Supplier Qualification</t>
  </si>
  <si>
    <t>Tingkat pemenuhan kualifikasi teknis dan standar kualitas garam dari para calon pemasok.</t>
  </si>
  <si>
    <t>Shipping Readiness</t>
  </si>
  <si>
    <t>Kesiapan fasilitas pelabuhan, ketersediaan armada kapal logistik, dan jalur bongkar muat garam.</t>
  </si>
  <si>
    <t>Utility Readiness</t>
  </si>
  <si>
    <t>Jaminan kesiapan tie-in pasokan gas bumi dari SKK Migas, air proses, uap panas, dan ketersediaan daya listrik.</t>
  </si>
  <si>
    <t>3. PARAMETER &amp; BOBOT PROJECT EXECUTION INDEX (PEI)</t>
  </si>
  <si>
    <t>Engineering Progress</t>
  </si>
  <si>
    <t>Persentase penyelesaian gambar kerja detail (DED), dokumen spesifikasi teknis, dan persetujuan vendor drawings.</t>
  </si>
  <si>
    <t>Procurement Progress</t>
  </si>
  <si>
    <t>Kemajuan pengadaan barang, khususnya long lead items (menara karbonasi, kiln dekomposisi, reaktor utama).</t>
  </si>
  <si>
    <t>Construction Progress</t>
  </si>
  <si>
    <t>Kemajuan fisik konstruksi sipil, pondasi alat berat, struktur baja, instalasi mekanikal, kelistrikan, pemipaan.</t>
  </si>
  <si>
    <t>Commissioning Preparation</t>
  </si>
  <si>
    <t>Penyelesaian dokumen prosedur pengujian, tim start-up, Loop Test instrumen, dan suku cadang awal operasional.</t>
  </si>
  <si>
    <t>4. PARAMETER &amp; BOBOT COMMERCIAL READINESS INDEX (CRI)</t>
  </si>
  <si>
    <t>Offtake Agreement</t>
  </si>
  <si>
    <t>Jumlah volume produk yang telah terikat dalam nota kesepahaman (MOU/Offtake Agreement) dengan pembeli domestik.</t>
  </si>
  <si>
    <t>Marketing Strategy</t>
  </si>
  <si>
    <t>Kesiapan strategi penetapan harga kompetitif terhadap produk impor dan diversifikasi varian produk.</t>
  </si>
  <si>
    <t>Distribution Readiness</t>
  </si>
  <si>
    <t>Kesiapan logistik pengiriman produk akhir: bagging unit, armada pengangkutan darat, konveyor pelabuhan.</t>
  </si>
  <si>
    <t>Operation Team Ready</t>
  </si>
  <si>
    <t>Kesiapan tim operasi pabrik: sertifikasi operator, SOP pengoperasian, pelatihan simulasi kondisi darurat.</t>
  </si>
  <si>
    <t>Product Qualification</t>
  </si>
  <si>
    <t>Kesiapan laboratorium pengujian mutu produk &amp; sertifikasi SNI agar memenuhi kualifikasi industri premium.</t>
  </si>
  <si>
    <t>5. TABEL BATAS TOLERANSI (THRESHOLD) - SISTEM RAG (RED-AMBER-GREEN)</t>
  </si>
  <si>
    <t>Pilar Kesehatan</t>
  </si>
  <si>
    <t>Indikator</t>
  </si>
  <si>
    <t>Hijau</t>
  </si>
  <si>
    <t>Kuning</t>
  </si>
  <si>
    <t>Oranye</t>
  </si>
  <si>
    <t>Merah</t>
  </si>
  <si>
    <t>CPI</t>
  </si>
  <si>
    <t>CPI &gt;= 1,00</t>
  </si>
  <si>
    <t>0,95-0,99</t>
  </si>
  <si>
    <t>0,90-0,94</t>
  </si>
  <si>
    <t>CPI &lt; 0,90</t>
  </si>
  <si>
    <t>SPI</t>
  </si>
  <si>
    <t>SPI &lt; 0,90</t>
  </si>
  <si>
    <t>Supply Readiness</t>
  </si>
  <si>
    <t>SRI</t>
  </si>
  <si>
    <t>SRI &gt;= 90%</t>
  </si>
  <si>
    <t>75-89%</t>
  </si>
  <si>
    <t>65-74%</t>
  </si>
  <si>
    <t>SRI &lt; 65%</t>
  </si>
  <si>
    <t>Project Execution</t>
  </si>
  <si>
    <t>Deviasi Fisik</t>
  </si>
  <si>
    <t>&lt;= 4%</t>
  </si>
  <si>
    <t>4,1-6%</t>
  </si>
  <si>
    <t>6,1-10%</t>
  </si>
  <si>
    <t>&gt; 10%</t>
  </si>
  <si>
    <t>Commercial Readiness</t>
  </si>
  <si>
    <t>CRI</t>
  </si>
  <si>
    <t>CRI &gt;= 80%</t>
  </si>
  <si>
    <t>60-79%</t>
  </si>
  <si>
    <t>50-59%</t>
  </si>
  <si>
    <t>CRI &lt; 50%</t>
  </si>
  <si>
    <t>Overall Health</t>
  </si>
  <si>
    <t>PHS</t>
  </si>
  <si>
    <t>90-100%</t>
  </si>
  <si>
    <t>60-74%</t>
  </si>
  <si>
    <t>&lt; 60%</t>
  </si>
  <si>
    <t>6. KRITERIA LIKELIHOOD (PROBABILITAS) - MATRIKS RISIKO 5x5</t>
  </si>
  <si>
    <t>Level (L)</t>
  </si>
  <si>
    <t>Kriteria Probabilitas Kejadian</t>
  </si>
  <si>
    <t>Sangat Jarang Terjadi</t>
  </si>
  <si>
    <t>Kemungkinan terjadi &lt; 10% selama siklus proyek; belum pernah terjadi pada proyek sejenis.</t>
  </si>
  <si>
    <t>Jarang Terjadi</t>
  </si>
  <si>
    <t>Kemungkinan terjadi 10-30%; pernah terjadi namun jarang pada proyek EPC sejenis.</t>
  </si>
  <si>
    <t>Bisa Terjadi</t>
  </si>
  <si>
    <t>Kemungkinan terjadi 30-50%; pernah terjadi beberapa kali pada proyek sejenis.</t>
  </si>
  <si>
    <t>Sangat Mungkin Terjadi</t>
  </si>
  <si>
    <t>Kemungkinan terjadi 50-70%; kondisi/indikasi saat ini mengarah pada terjadinya risiko.</t>
  </si>
  <si>
    <t>Hampir Pasti Terjadi</t>
  </si>
  <si>
    <t>Kemungkinan terjadi &gt; 70%; sudah terdapat indikasi kuat / sedang berlangsung saat ini.</t>
  </si>
  <si>
    <t>7. KRITERIA CONSEQUENCE (DAMPAK) - MATRIKS RISIKO 5x5</t>
  </si>
  <si>
    <t>Level (C)</t>
  </si>
  <si>
    <t>Kriteria Dampak (Finansial / Jadwal / Reputasi)</t>
  </si>
  <si>
    <t>Sangat Rendah</t>
  </si>
  <si>
    <t>Dampak biaya &lt; USD 0,5 Juta; keterlambatan jadwal &lt; 1 minggu; tanpa dampak reputasi/K3.</t>
  </si>
  <si>
    <t>Rendah</t>
  </si>
  <si>
    <t>Dampak biaya USD 0,5-2 Juta; keterlambatan jadwal 1-4 minggu; keluhan internal, dapat dikelola PIC.</t>
  </si>
  <si>
    <t>Moderat</t>
  </si>
  <si>
    <t>Dampak biaya USD 2-10 Juta; keterlambatan jadwal 1-2 bulan; perhatian manajemen menengah/PSC.</t>
  </si>
  <si>
    <t>Tinggi</t>
  </si>
  <si>
    <t>Dampak biaya USD 10-30 Juta; keterlambatan jadwal 2-6 bulan; berisiko pada target COD &amp; perhatian Direksi.</t>
  </si>
  <si>
    <t>Sangat Tinggi</t>
  </si>
  <si>
    <t>Dampak biaya &gt; USD 30 Juta; keterlambatan &gt; 6 bulan atau mengancam kegagalan COD; berdampak pada kelayakan NPV proyek &amp; reputasi korporat.</t>
  </si>
  <si>
    <t>Skor Matriks L x C TIDAK lagi dihitung dari perkalian langsung L x C dengan pembagian rentang rata, melainkan menggunakan Tabel Skala Risiko Non-Linear (Skala 1-25) pada bagian 10 di bawah, yang memprioritaskan bobot Consequence (Dampak) dibanding Likelihood (Probabilitas) untuk kombinasi bernilai sama — konsisten dengan pendekatan penentuan level risiko non-linear yang lazim digunakan pada matriks 5x5 ISO 31000:2018 / AS-NZS ISO 31000 dan praktik matriks risiko K3/SMKP BUMN sektor energi-tambang (rujukan pola: Kepdirjen Minerba No.1827.K/30/MEM/2018). Overall Risk Index (skala 0-100, benchmark Pertamina) tetap memakai rentang rata seperti semula.</t>
  </si>
  <si>
    <t>Level Risiko</t>
  </si>
  <si>
    <t>Skor Matriks L x C (1-25)</t>
  </si>
  <si>
    <t>Overall Risk Index (0-100)</t>
  </si>
  <si>
    <t>1 - 5</t>
  </si>
  <si>
    <t>0 - 20</t>
  </si>
  <si>
    <t>6 - 11</t>
  </si>
  <si>
    <t>21 - 40</t>
  </si>
  <si>
    <t>12 - 15</t>
  </si>
  <si>
    <t>41 - 60</t>
  </si>
  <si>
    <t>16 - 19</t>
  </si>
  <si>
    <t>61 - 80</t>
  </si>
  <si>
    <t>20 - 25</t>
  </si>
  <si>
    <t>81 - 100</t>
  </si>
  <si>
    <t>9. KOMPOSISI SUB-INDEKS OVERALL RISK INDEX (BENCHMARK PERTAMINA)</t>
  </si>
  <si>
    <t>Supply Risk Index</t>
  </si>
  <si>
    <t>Bahan baku garam industri, kualitas garam lokal vs impor, keandalan pemasok, risiko logistik maritim, kesiapan gudang, kesiapan utilitas.</t>
  </si>
  <si>
    <t>Execution Risk Index</t>
  </si>
  <si>
    <t>Kesiapan rekayasa desain, pengadaan peralatan utama, produktivitas tenaga kerja, antarmuka antar-EPC, pengapalan long lead items, kesiapan uji fungsi.</t>
  </si>
  <si>
    <t>Commercial Risk Index</t>
  </si>
  <si>
    <t>Overall Risk Index = (Supply Risk Index x 0,40) + (Execution Risk Index x 0,40) + (Commercial Risk Index x 0,20)</t>
  </si>
  <si>
    <t>10. TABEL SKALA RISIKO (RISK RANKING) 5x5 NON-LINEAR &amp; WARNA HEAT MAP</t>
  </si>
  <si>
    <t>Key (L x10 + C)</t>
  </si>
  <si>
    <t>L (1-5)</t>
  </si>
  <si>
    <t>C (1-5)</t>
  </si>
  <si>
    <t>Skala (1-25)</t>
  </si>
  <si>
    <t>Kode Warna (Hex)</t>
  </si>
  <si>
    <t>#538135</t>
  </si>
  <si>
    <t>#A9D18E</t>
  </si>
  <si>
    <t>#FFD966</t>
  </si>
  <si>
    <t>#F4B183</t>
  </si>
  <si>
    <t>#E06666</t>
  </si>
  <si>
    <t>11. METODOLOGI EARLY WARNING SYSTEM (EWS) — 3 STATUS (AMAN / WASPADA / BAHAYA)</t>
  </si>
  <si>
    <t>Setiap parameter EWS diklasifikasikan ke 3 status menggunakan pendekatan Key Risk Indicator (KRI) Traffic Light dengan buffer toleransi 10% dari threshold sebagai batas Waspada (Amber Zone), mengacu pada COSO Enterprise Risk Management Framework (2017) dan praktik RCSA-KRI PT Pertamina (Persero) yang telah dirujuk pada dokumen ini.</t>
  </si>
  <si>
    <t>Status</t>
  </si>
  <si>
    <t>Definisi Ambang Batas (untuk indikator "semakin tinggi semakin baik")</t>
  </si>
  <si>
    <t>Warna</t>
  </si>
  <si>
    <t>Nilai Aktual &gt;= Threshold (100% dari batas aman)</t>
  </si>
  <si>
    <t>Threshold x 90% &lt;= Nilai Aktual &lt; Threshold</t>
  </si>
  <si>
    <t>Nilai Aktual &lt; Threshold x 90%</t>
  </si>
  <si>
    <t>12. METODOLOGI PERHITUNGAN SUB-INDEKS RISIKO</t>
  </si>
  <si>
    <t>Masing-masing sub-indeks risiko dihitung melalui metode penilaian pakar (expert scoring) pada skala 0-100:</t>
  </si>
  <si>
    <t>Sub-Indeks</t>
  </si>
  <si>
    <t>Definisi</t>
  </si>
  <si>
    <t>Parameter Penilaian</t>
  </si>
  <si>
    <t>Skala</t>
  </si>
  <si>
    <t>Skor 0 (Terendah)</t>
  </si>
  <si>
    <t>Skor 100 (Tertinggi)</t>
  </si>
  <si>
    <t>Mengukur tingkat risiko rantai pasokan bahan baku proyek</t>
  </si>
  <si>
    <t>Ketersediaan kontrak garam jangka panjang, stabilitas harga, keandalan pemasok, kapasitas logistik &amp; pelabuhan, regulasi impor garam (Perpres 17/2025)</t>
  </si>
  <si>
    <t>0 – 100</t>
  </si>
  <si>
    <t>Risiko sangat rendah (pasokan sepenuhnya terjamin)</t>
  </si>
  <si>
    <t>Risiko sangat tinggi (pasokan tidak tersedia)</t>
  </si>
  <si>
    <t>Mengukur tingkat risiko pelaksanaan proyek EPC</t>
  </si>
  <si>
    <t>Progres konstruksi vs jadwal, performa kontraktor, isu interface antar EPC packages, kesiapan commissioning, ketersediaan sumber daya, kendala perizinan</t>
  </si>
  <si>
    <t>Risiko sangat rendah (eksekusi sempurna)</t>
  </si>
  <si>
    <t>Risiko sangat tinggi (proyek terhenti)</t>
  </si>
  <si>
    <t>Offtake agreement, strategi pemasaran, kesiapan distribusi, kualifikasi produk, persaingan impor</t>
  </si>
  <si>
    <t>Risiko sangat rendah (pasar terjamin)</t>
  </si>
  <si>
    <t>Risiko sangat tinggi (pasar tidak tersedia)</t>
  </si>
  <si>
    <t>Formula Overall Risk Index = (Supply Risk Index × 0,4) + (Execution Risk Index × 0,4) + (Commercial Risk Index × 0,2)</t>
  </si>
  <si>
    <t>Rentang Skala (1-25)</t>
  </si>
  <si>
    <t>Sel Input_Bulanan</t>
  </si>
  <si>
    <t>20 – 25</t>
  </si>
  <si>
    <t>D48</t>
  </si>
  <si>
    <t>16 – 19</t>
  </si>
  <si>
    <t>D49</t>
  </si>
  <si>
    <t>12 – 15</t>
  </si>
  <si>
    <t>D50</t>
  </si>
  <si>
    <t>6 – 11</t>
  </si>
  <si>
    <t>D51</t>
  </si>
  <si>
    <t>1 – 5</t>
  </si>
  <si>
    <t>D52</t>
  </si>
  <si>
    <t>INPUT DATA BULANAN — DIISI OLEH PIC / PROJECT CONTROL SETIAP PERIODE PELAPORAN</t>
  </si>
  <si>
    <t>Sel KUNING (font biru) = input manual. Sel ABU-ABU = formula otomatis, jangan diubah manual. Arahkan kursor ke label bertanda (i) untuk penjelasan parameter.</t>
  </si>
  <si>
    <t>Periode Pelaporan (Bulan/Tahun)</t>
  </si>
  <si>
    <t>Agustus 2026</t>
  </si>
  <si>
    <t>Status Dokumen</t>
  </si>
  <si>
    <t>DRAFT</t>
  </si>
  <si>
    <t>1. EARNED VALUE MANAGEMENT (EVM) — FINANCIAL &amp; SCHEDULE HEALTH  (satuan: USD Juta, kumulatif)</t>
  </si>
  <si>
    <t>Planned Value (PV) — kumulatif s.d. periode ini</t>
  </si>
  <si>
    <t>Earned Value (EV) — kumulatif s.d. periode ini</t>
  </si>
  <si>
    <t>Actual Cost (AC) — kumulatif s.d. periode ini</t>
  </si>
  <si>
    <t>Cost Performance Index (CPI = EV/AC)</t>
  </si>
  <si>
    <t>Cost Variance (CV = EV-AC), USD Juta</t>
  </si>
  <si>
    <t>Schedule Performance Index (SPI = EV/PV)</t>
  </si>
  <si>
    <t>Schedule Variance (SV = EV-PV), USD Juta</t>
  </si>
  <si>
    <t>2. SUPPLY READINESS INDEX (SRI) — skor kesiapan tiap parameter</t>
  </si>
  <si>
    <t>Salt Contract (bobot 25%)</t>
  </si>
  <si>
    <t>Salt Inventory (bobot 20%)</t>
  </si>
  <si>
    <t>Supplier Qualification (bobot 20%)</t>
  </si>
  <si>
    <t>Shipping Readiness (bobot 20%)</t>
  </si>
  <si>
    <t>Utility Readiness (bobot 15%)</t>
  </si>
  <si>
    <t>SRI — Supply Readiness Index (tertimbang)</t>
  </si>
  <si>
    <t>3. PROJECT EXECUTION INDEX (PEI) — progres aktual tiap parameter</t>
  </si>
  <si>
    <t>Engineering Progress (bobot 25%)</t>
  </si>
  <si>
    <t>Procurement Progress (bobot 30%)</t>
  </si>
  <si>
    <t>Construction Progress (bobot 35%)</t>
  </si>
  <si>
    <t>Commissioning Preparation (bobot 10%)</t>
  </si>
  <si>
    <t>PEI — Project Execution Index (tertimbang)</t>
  </si>
  <si>
    <t>Deviasi Kemajuan Fisik vs Target (S-Curve)</t>
  </si>
  <si>
    <t>4. COMMERCIAL READINESS INDEX (CRI) — skor kesiapan tiap parameter</t>
  </si>
  <si>
    <t>Offtake Agreement (bobot 20%)</t>
  </si>
  <si>
    <t>Marketing Strategy (bobot 20%)</t>
  </si>
  <si>
    <t>Distribution Readiness (bobot 15%)</t>
  </si>
  <si>
    <t>Operation Team Ready (bobot 20%)</t>
  </si>
  <si>
    <t>Product Qualification (bobot 25%)</t>
  </si>
  <si>
    <t>CRI — Commercial Readiness Index (tertimbang)</t>
  </si>
  <si>
    <t>5. OVERALL RISK INDEX — sub-indeks risiko (skor 0-100, benchmark Pertamina)</t>
  </si>
  <si>
    <t>Supply Risk Index (bobot 40%)</t>
  </si>
  <si>
    <t>Execution Risk Index (bobot 40%)</t>
  </si>
  <si>
    <t>Commercial Risk Index (bobot 20%)</t>
  </si>
  <si>
    <t>Overall Risk Index (tertimbang, skala 0-100)</t>
  </si>
  <si>
    <t>Overall Risk Level (5 Tingkat, formula)</t>
  </si>
  <si>
    <t>7. STATUS MITIGASI &amp; DINAMIKA PERGERAKAN RISIKO (BULAN BERJALAN)</t>
  </si>
  <si>
    <t>Completed Mitigations (%)</t>
  </si>
  <si>
    <t>Overdue Actions (%)</t>
  </si>
  <si>
    <t>On Track Mitigations (%)</t>
  </si>
  <si>
    <t>8. EARLY WARNING SYSTEM (EWS) — NILAI AKTUAL PEMANTAUAN</t>
  </si>
  <si>
    <t>Parameter EWS</t>
  </si>
  <si>
    <t>Threshold (Batas Aman)</t>
  </si>
  <si>
    <t>Nilai Aktual</t>
  </si>
  <si>
    <t>Nilai Threshold (Numerik)</t>
  </si>
  <si>
    <t>Buffer Waspada (90%)</t>
  </si>
  <si>
    <t>Status EWS (3 Level)</t>
  </si>
  <si>
    <t>Minimum 30 hari</t>
  </si>
  <si>
    <t>Minimal 80%</t>
  </si>
  <si>
    <t>Minimum 60%</t>
  </si>
  <si>
    <t>Minimum 50%</t>
  </si>
  <si>
    <t>9. TOP RISK REGISTER (C1-C4) — INPUT LIKELIHOOD (L) &amp; CONSEQUENCE (C) UNTUK HEAT MAP</t>
  </si>
  <si>
    <t>Skala Risiko &amp; Risk Level dihitung otomatis dari Tabel Skala Risiko Non-Linear 5x5 pada sheet Referensi_Threshold bagian 10 (bukan lagi perkalian L x C sederhana). Posisi pada Risk Profile Heat Map di sheet Dashboard mengikuti nilai L &amp; C ini secara otomatis.</t>
  </si>
  <si>
    <t>Deskripsi Risiko Utama</t>
  </si>
  <si>
    <t>Score</t>
  </si>
  <si>
    <t>Risk Level</t>
  </si>
  <si>
    <t>C1</t>
  </si>
  <si>
    <t>Salt Supply Disruption (gangguan pasokan garam industri)</t>
  </si>
  <si>
    <t>Hulu / Supply</t>
  </si>
  <si>
    <t>C2</t>
  </si>
  <si>
    <t>Commissioning Delay (keterlambatan commissioning)</t>
  </si>
  <si>
    <t>Eksekusi</t>
  </si>
  <si>
    <t>C3</t>
  </si>
  <si>
    <t>EPC Interface Issue (isu EPC interface lintas kontraktor)</t>
  </si>
  <si>
    <t>C4</t>
  </si>
  <si>
    <t>Long Lead Equipment (keterlambatan peralatan utama)</t>
  </si>
  <si>
    <t>Pengadaan</t>
  </si>
  <si>
    <t>Salt Readiness</t>
  </si>
  <si>
    <t>Izin Edar</t>
  </si>
  <si>
    <t>Pencapaian Performace Test (Kaitannya dengan quality)</t>
  </si>
  <si>
    <t>NPV</t>
  </si>
  <si>
    <t>Regulatory Readiness</t>
  </si>
  <si>
    <t>PROJECT RISK &amp; HEALTH DASHBOARD  -  Proyek X PROJECT  Perusahaan X (Perusahaan X)</t>
  </si>
  <si>
    <t>Risk Register Proyek X - Pengelompokan Tahapan Pekerjaan Proyek (2025)</t>
  </si>
  <si>
    <t>Risk Register Proyek X 2025; praktik EPC Progress-S-Curve industri</t>
  </si>
  <si>
    <t>Risk Register Proyek X 2025</t>
  </si>
  <si>
    <t>Pengikatan kontrak offtake, fluktuasi harga Proyek X global, tekanan produk impor, kesiapan logistik distribusi hilir, sertifikasi kualitas produk.</t>
  </si>
  <si>
    <t>Mengukur tingkat risiko komersial &amp; pemasaran produk Proyek X</t>
  </si>
  <si>
    <t>Proyek X Project Perusahaan X | Sumber: Standarisasi Eksekutif Project Risk &amp; Health Dashboard (Studi Kelayakan Deloitte; Risk Register Proyek X 2025) &amp; Benchmark PT Pertamina (Persero) - Direktorat Manajemen Risiko / Permen BUMN No.02/2023</t>
  </si>
  <si>
    <t>Catatan: kriteria berikut merupakan kriteria standar manajemen risiko (ISO 31000 &amp; benchmark Pertamina RCSA/KRI). Sesuaikan dengan Pedoman Manajemen Risiko Perusahaan X resmi apabila tersedia angka baku internal.</t>
  </si>
  <si>
    <t>8. KLASIFIKASI LEVEL RISIKO - 5 TINGKAT (Pedoman Manajemen Risiko Perusahaan X)</t>
  </si>
  <si>
    <t>Sumber benchmark tata kelola risiko: PT Pertamina (Persero) - Direktorat Manajemen Risiko (2nd Line of Defense, Permen BUMN No.02/2023), Komite Tata Kelola Terintegrasi (KTKT), Gate Review/FID, RCSA, KRI, ICT, C-RBDD; PT Biro Klasifikasi Indonesia (Persero) - SK-6/2023 (Risk Appetite berbasis Net Working Capital); klasifikasi 5-tingkat Low/Low to Moderate/Moderate/Moderate to High/High mengikuti nomenklatur Pedoman Manajemen Risiko Perusahaan X.</t>
  </si>
  <si>
    <t>Tabel skala risiko berikut menetapkan urutan (rank) 1-25 untuk setiap 25 kombinasi Likelihood (L) x Consequence (C) sesuai spesifikasi metodologi risiko internal yang ditetapkan Project Control Proyek X Perusahaan X. Berbeda dari perkalian L x C sederhana, urutan ini memberi bobot lebih besar pada Consequence saat terjadi nilai sama, mengikuti kaidah umum non-linear risk ranking pada standar ISO 31000:2018 dan praktik matriks risiko korporasi BUMN. Skala menentukan posisi &amp; warna sel pada Risk Profile Heat Map di sheet Dashboard.</t>
  </si>
  <si>
    <t>Sumber/Referensi Tabel Skala: metodologi non-linear risk ranking ISO 31000:2018 (klausul 5.4.3 - penentuan level risiko); praktik matriks 5x5 K3/SMKP BUMN sektor energi &amp; tambang; disesuaikan dengan nomenklatur 5-tingkat Pedoman Manajemen Risiko Perusahaan X (Low / Low to Moderate / Moderate / Moderate to High / High).</t>
  </si>
  <si>
    <t>13. KLASIFIKASI JUMLAH REGISTER RISIKO AKTIF (5 TINGKAT Perusahaan X)</t>
  </si>
  <si>
    <t>Setiap risiko dalam register diklasifikasi berdasarkan Skala Risiko Non-Linear 5x5 (bagian 10) ke dalam 5 tingkat risiko Perusahaan X:</t>
  </si>
  <si>
    <t>6. REGISTER RISIKO AKTIF — Jumlah Risiko per 5 Tingkat Perusahaan X</t>
  </si>
  <si>
    <t>VP Proyek Proyek X &amp; SVP Pengembangan Portofolio</t>
  </si>
  <si>
    <t>Proyek X Project Perusahaan X — diperbarui setiap periode pelaporan bulanan. Kategori Level mengikuti klasifikasi 5-tingkat Pedoman Manajemen Risiko Perusahaan X.</t>
  </si>
  <si>
    <t>Direktur Utama Perusahaan X &amp; SVP Keuangan</t>
  </si>
  <si>
    <t>Direktur Utama Perusahaan X &amp; SVP Pengembangan Portofolio</t>
  </si>
  <si>
    <t>Direktur Keuangan Perusahaan X</t>
  </si>
  <si>
    <t>VP Hukum &amp; Humas Perusahaan X</t>
  </si>
  <si>
    <t>Sumber tata kelola: Risk Register Proyek X 2025; kerangka Gate Review &amp; FID PT Pertamina (Persero); Weighted Project Top Risk (Financial Materiality 40%, Strategic Impact 30%, Life Cycle Phase 15%, Financial Health Impact 10%, Baseline Risk Complexity 5%). Level risiko mengikuti klasifikasi 5-tingkat Pedoman Manajemen Risiko Perusahaan X: Low / Low to Moderate / Moderate / Moderate to High / High.</t>
  </si>
  <si>
    <t>Memberikan dispensasi perpanjangan jaminan pelaksanaan secara terkendali; meminta Parent Company Guarantee dari PT Perusahaan Induk X (Persero) untuk menjamin ketersediaan pendanaan bila Rekind menghadapi kendala likuiditas.</t>
  </si>
  <si>
    <t>Membentuk tim percepatan perizinan internal untuk koordinasi harian dengan DLH Kota X dan Dinas PUPR Provinsi Provinsi X guna mempercepat adendum dokumen lingkungan di lahan sengketa.</t>
  </si>
  <si>
    <t>L=5</t>
  </si>
  <si>
    <t>L=4</t>
  </si>
  <si>
    <t>L=3</t>
  </si>
  <si>
    <t>L=2</t>
  </si>
  <si>
    <t>L=1</t>
  </si>
  <si>
    <t>C -&gt;</t>
  </si>
  <si>
    <t>Nama Perusahaan</t>
  </si>
  <si>
    <t>Perusahaan X</t>
  </si>
  <si>
    <t>Nama Proyek</t>
  </si>
  <si>
    <t>Proyek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</si>
</sst>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5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6A13"/>
      <name val="Arial"/>
      <charset val="1"/>
    </font>
    <font>
      <b/>
      <sz val="10.5"/>
      <color rgb="FFFFFFFF"/>
      <name val="Arial"/>
      <charset val="1"/>
    </font>
    <font>
      <b/>
      <sz val="8.6999999999999993"/>
      <color rgb="FFFFFFFF"/>
      <name val="Arial"/>
      <charset val="1"/>
    </font>
    <font>
      <b/>
      <sz val="8.5"/>
      <color rgb="FFFFFFFF"/>
      <name val="Arial"/>
      <charset val="1"/>
    </font>
    <font>
      <b/>
      <sz val="26"/>
      <color rgb="FF0B1F3A"/>
      <name val="Arial"/>
      <charset val="1"/>
    </font>
    <font>
      <sz val="9"/>
      <color rgb="FF1B2430"/>
      <name val="Arial"/>
      <charset val="1"/>
    </font>
    <font>
      <b/>
      <sz val="11"/>
      <color rgb="FF0B1F3A"/>
      <name val="Arial"/>
      <charset val="1"/>
    </font>
    <font>
      <b/>
      <sz val="19"/>
      <color rgb="FFFFFFFF"/>
      <name val="Arial"/>
      <charset val="1"/>
    </font>
    <font>
      <sz val="7.5"/>
      <color rgb="FF5B6B84"/>
      <name val="Arial"/>
      <charset val="1"/>
    </font>
    <font>
      <b/>
      <sz val="8.5"/>
      <color rgb="FF0C2038"/>
      <name val="Arial"/>
      <charset val="1"/>
    </font>
    <font>
      <b/>
      <sz val="10"/>
      <color rgb="FFFFFFFF"/>
      <name val="Arial"/>
      <charset val="1"/>
    </font>
    <font>
      <b/>
      <sz val="9.5"/>
      <color rgb="FF0B1F3A"/>
      <name val="Arial"/>
      <charset val="1"/>
    </font>
    <font>
      <i/>
      <sz val="7"/>
      <color rgb="FF5B6B84"/>
      <name val="Arial"/>
      <charset val="1"/>
    </font>
    <font>
      <b/>
      <sz val="10.5"/>
      <color rgb="FF0B1F3A"/>
      <name val="Arial"/>
      <charset val="1"/>
    </font>
    <font>
      <sz val="8.6999999999999993"/>
      <color rgb="FF1B2430"/>
      <name val="Arial"/>
      <charset val="1"/>
    </font>
    <font>
      <b/>
      <sz val="10"/>
      <color rgb="FF0B1F3A"/>
      <name val="Arial"/>
      <charset val="1"/>
    </font>
    <font>
      <b/>
      <sz val="10"/>
      <color rgb="FF1B2430"/>
      <name val="Arial"/>
      <charset val="1"/>
    </font>
    <font>
      <b/>
      <sz val="9"/>
      <color rgb="FFFFFFFF"/>
      <name val="Arial"/>
      <charset val="1"/>
    </font>
    <font>
      <sz val="7.6"/>
      <color rgb="FF1B2430"/>
      <name val="Arial"/>
      <charset val="1"/>
    </font>
    <font>
      <i/>
      <sz val="7.3"/>
      <color rgb="FF7C8CA6"/>
      <name val="Arial"/>
      <charset val="1"/>
    </font>
    <font>
      <b/>
      <sz val="8.6999999999999993"/>
      <color rgb="FF1B2430"/>
      <name val="Arial"/>
      <charset val="1"/>
    </font>
    <font>
      <b/>
      <sz val="10"/>
      <color rgb="FFC0392B"/>
      <name val="Arial"/>
      <charset val="1"/>
    </font>
    <font>
      <b/>
      <sz val="9.5"/>
      <color rgb="FF1B2430"/>
      <name val="Arial"/>
      <charset val="1"/>
    </font>
    <font>
      <sz val="8.3000000000000007"/>
      <color rgb="FF1B2430"/>
      <name val="Arial"/>
      <charset val="1"/>
    </font>
    <font>
      <b/>
      <sz val="14"/>
      <color rgb="FF0B1F3A"/>
      <name val="Arial"/>
      <charset val="1"/>
    </font>
    <font>
      <i/>
      <sz val="9"/>
      <color rgb="FF55606E"/>
      <name val="Arial"/>
      <charset val="1"/>
    </font>
    <font>
      <b/>
      <sz val="13"/>
      <color rgb="FFFFFFFF"/>
      <name val="Arial"/>
      <charset val="1"/>
    </font>
    <font>
      <sz val="9.5"/>
      <color rgb="FF1B2430"/>
      <name val="Arial"/>
      <charset val="1"/>
    </font>
    <font>
      <i/>
      <sz val="8.3000000000000007"/>
      <color rgb="FF55606E"/>
      <name val="Arial"/>
      <charset val="1"/>
    </font>
    <font>
      <i/>
      <sz val="9.5"/>
      <color rgb="FF1B2430"/>
      <name val="Arial"/>
      <charset val="1"/>
    </font>
    <font>
      <i/>
      <sz val="8.5"/>
      <color rgb="FF55606E"/>
      <name val="Arial"/>
      <charset val="1"/>
    </font>
    <font>
      <b/>
      <sz val="9"/>
      <color rgb="FF1B2430"/>
      <name val="Arial"/>
      <charset val="1"/>
    </font>
    <font>
      <i/>
      <sz val="9"/>
      <color rgb="FF1B2430"/>
      <name val="Arial"/>
      <charset val="1"/>
    </font>
    <font>
      <sz val="9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sz val="10"/>
      <color rgb="FF1B243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Calibri"/>
    </font>
    <font>
      <b/>
      <sz val="10"/>
      <color rgb="FF0C2038"/>
      <name val="Calibri"/>
    </font>
    <font>
      <b/>
      <sz val="10"/>
      <color rgb="FF0B1F3A"/>
      <name val="Calibri"/>
    </font>
    <font>
      <b/>
      <sz val="10"/>
      <color rgb="FFFFFFFF"/>
      <name val="Arial"/>
    </font>
    <font>
      <sz val="11"/>
      <color rgb="FF000000"/>
      <name val="Calibri"/>
    </font>
    <font>
      <b/>
      <sz val="9"/>
      <color rgb="FFFFFFFF"/>
      <name val="Arial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538135"/>
      <name val="Calibri"/>
      <family val="2"/>
      <charset val="1"/>
    </font>
    <font>
      <b/>
      <sz val="8"/>
      <color rgb="FF1B2430"/>
      <name val="Arial"/>
      <family val="2"/>
    </font>
    <font>
      <sz val="11"/>
      <color rgb="FFFFFFFF"/>
      <name val="Calibri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B1F3A"/>
        <bgColor rgb="FF0C2038"/>
      </patternFill>
    </fill>
    <fill>
      <patternFill patternType="solid">
        <fgColor rgb="FF1B3A63"/>
        <bgColor rgb="FF12294D"/>
      </patternFill>
    </fill>
    <fill>
      <patternFill patternType="solid">
        <fgColor rgb="FF12294D"/>
        <bgColor rgb="FF0C2038"/>
      </patternFill>
    </fill>
    <fill>
      <patternFill patternType="solid">
        <fgColor rgb="FFFFFFFF"/>
        <bgColor rgb="FFF2F4F7"/>
      </patternFill>
    </fill>
    <fill>
      <patternFill patternType="solid">
        <fgColor rgb="FFE06666"/>
        <bgColor rgb="FFFF6A13"/>
      </patternFill>
    </fill>
    <fill>
      <patternFill patternType="solid">
        <fgColor rgb="FFFFD966"/>
        <bgColor rgb="FFFCE29B"/>
      </patternFill>
    </fill>
    <fill>
      <patternFill patternType="solid">
        <fgColor rgb="FFF4B183"/>
        <bgColor rgb="FFF5B27A"/>
      </patternFill>
    </fill>
    <fill>
      <patternFill patternType="solid">
        <fgColor rgb="FFA9D18E"/>
        <bgColor rgb="FFC9E4A6"/>
      </patternFill>
    </fill>
    <fill>
      <patternFill patternType="solid">
        <fgColor rgb="FF538135"/>
        <bgColor rgb="FF5B6B84"/>
      </patternFill>
    </fill>
    <fill>
      <patternFill patternType="solid">
        <fgColor rgb="FFF2F4F7"/>
        <bgColor rgb="FFFFFFFF"/>
      </patternFill>
    </fill>
    <fill>
      <patternFill patternType="solid">
        <fgColor rgb="FFF1A9A0"/>
        <bgColor rgb="FFF4B183"/>
      </patternFill>
    </fill>
    <fill>
      <patternFill patternType="solid">
        <fgColor rgb="FFF5B27A"/>
        <bgColor rgb="FFF4B183"/>
      </patternFill>
    </fill>
    <fill>
      <patternFill patternType="solid">
        <fgColor rgb="FFFCE29B"/>
        <bgColor rgb="FFFFF2A0"/>
      </patternFill>
    </fill>
    <fill>
      <patternFill patternType="solid">
        <fgColor rgb="FFFFE3CC"/>
        <bgColor rgb="FFFCE29B"/>
      </patternFill>
    </fill>
    <fill>
      <patternFill patternType="solid">
        <fgColor rgb="FFC9E4A6"/>
        <bgColor rgb="FFD5DBE5"/>
      </patternFill>
    </fill>
    <fill>
      <patternFill patternType="solid">
        <fgColor rgb="FFFFF2A0"/>
        <bgColor rgb="FFFCE29B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12294D"/>
        <bgColor rgb="FF12294D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EAEAEA"/>
        <bgColor rgb="FFEAEAEA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B9C2CE"/>
      </left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 style="thin">
        <color rgb="FFB9C2CE"/>
      </top>
      <bottom style="thin">
        <color rgb="FFB9C2CE"/>
      </bottom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/>
      <right/>
      <top style="thin">
        <color rgb="FFB9C2CE"/>
      </top>
      <bottom/>
      <diagonal/>
    </border>
    <border>
      <left/>
      <right style="thin">
        <color rgb="FFB9C2CE"/>
      </right>
      <top style="thin">
        <color rgb="FFB9C2CE"/>
      </top>
      <bottom/>
      <diagonal/>
    </border>
    <border>
      <left/>
      <right/>
      <top style="thin">
        <color rgb="FFB9C2CE"/>
      </top>
      <bottom style="thin">
        <color rgb="FFB9C2CE"/>
      </bottom>
      <diagonal/>
    </border>
    <border>
      <left/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/>
      <bottom/>
      <diagonal/>
    </border>
    <border>
      <left/>
      <right style="thin">
        <color rgb="FFB9C2CE"/>
      </right>
      <top/>
      <bottom/>
      <diagonal/>
    </border>
    <border>
      <left style="thin">
        <color rgb="FFB9C2CE"/>
      </left>
      <right/>
      <top/>
      <bottom style="thin">
        <color rgb="FFB9C2CE"/>
      </bottom>
      <diagonal/>
    </border>
    <border>
      <left/>
      <right/>
      <top/>
      <bottom style="thin">
        <color rgb="FFB9C2CE"/>
      </bottom>
      <diagonal/>
    </border>
    <border>
      <left/>
      <right style="thin">
        <color rgb="FFB9C2CE"/>
      </right>
      <top/>
      <bottom style="thin">
        <color rgb="FFB9C2CE"/>
      </bottom>
      <diagonal/>
    </border>
    <border>
      <left/>
      <right/>
      <top style="thin">
        <color rgb="FFD5DBE5"/>
      </top>
      <bottom style="thin">
        <color rgb="FFD5DBE5"/>
      </bottom>
      <diagonal/>
    </border>
    <border>
      <left/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9C2CE"/>
      </left>
      <right/>
      <top style="thin">
        <color rgb="FFB9C2CE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0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6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top" wrapText="1"/>
    </xf>
    <xf numFmtId="0" fontId="24" fillId="11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18" fillId="0" borderId="0" xfId="0" applyFont="1"/>
    <xf numFmtId="0" fontId="33" fillId="11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3" fillId="16" borderId="1" xfId="0" applyFont="1" applyFill="1" applyBorder="1" applyAlignment="1">
      <alignment horizontal="center" vertical="center" wrapText="1"/>
    </xf>
    <xf numFmtId="0" fontId="33" fillId="5" borderId="1" xfId="0" applyFont="1" applyFill="1" applyBorder="1"/>
    <xf numFmtId="0" fontId="33" fillId="14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24" fillId="9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24" fillId="16" borderId="1" xfId="0" applyFont="1" applyFill="1" applyBorder="1"/>
    <xf numFmtId="0" fontId="24" fillId="14" borderId="1" xfId="0" applyFont="1" applyFill="1" applyBorder="1"/>
    <xf numFmtId="0" fontId="24" fillId="13" borderId="1" xfId="0" applyFont="1" applyFill="1" applyBorder="1"/>
    <xf numFmtId="0" fontId="24" fillId="12" borderId="1" xfId="0" applyFont="1" applyFill="1" applyBorder="1"/>
    <xf numFmtId="0" fontId="30" fillId="0" borderId="0" xfId="0" applyFont="1" applyAlignment="1">
      <alignment horizontal="left" vertical="top" wrapText="1"/>
    </xf>
    <xf numFmtId="0" fontId="12" fillId="4" borderId="0" xfId="0" applyFont="1" applyFill="1"/>
    <xf numFmtId="0" fontId="0" fillId="4" borderId="0" xfId="0" applyFill="1"/>
    <xf numFmtId="0" fontId="7" fillId="0" borderId="3" xfId="0" applyFont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5" fillId="6" borderId="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36" fillId="17" borderId="1" xfId="0" applyNumberFormat="1" applyFont="1" applyFill="1" applyBorder="1" applyAlignment="1">
      <alignment horizontal="center" vertical="center" wrapText="1"/>
    </xf>
    <xf numFmtId="2" fontId="18" fillId="11" borderId="1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10" fontId="36" fillId="17" borderId="1" xfId="0" applyNumberFormat="1" applyFont="1" applyFill="1" applyBorder="1" applyAlignment="1">
      <alignment horizontal="center" vertical="center" wrapText="1"/>
    </xf>
    <xf numFmtId="10" fontId="18" fillId="11" borderId="1" xfId="0" applyNumberFormat="1" applyFont="1" applyFill="1" applyBorder="1" applyAlignment="1">
      <alignment horizontal="center" vertical="center" wrapText="1"/>
    </xf>
    <xf numFmtId="2" fontId="36" fillId="17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" fontId="36" fillId="17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1" fontId="18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0" xfId="0" applyFont="1"/>
    <xf numFmtId="0" fontId="40" fillId="22" borderId="0" xfId="0" applyFont="1" applyFill="1"/>
    <xf numFmtId="0" fontId="40" fillId="18" borderId="1" xfId="0" applyFont="1" applyFill="1" applyBorder="1" applyAlignment="1">
      <alignment horizontal="left" vertical="center" wrapText="1"/>
    </xf>
    <xf numFmtId="0" fontId="41" fillId="19" borderId="1" xfId="0" applyFont="1" applyFill="1" applyBorder="1" applyAlignment="1">
      <alignment horizontal="left" vertical="center" wrapText="1"/>
    </xf>
    <xf numFmtId="0" fontId="41" fillId="20" borderId="1" xfId="0" applyFont="1" applyFill="1" applyBorder="1" applyAlignment="1">
      <alignment horizontal="left" vertical="center" wrapText="1"/>
    </xf>
    <xf numFmtId="0" fontId="41" fillId="21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1" fontId="42" fillId="0" borderId="1" xfId="0" applyNumberFormat="1" applyFont="1" applyBorder="1" applyAlignment="1">
      <alignment horizontal="center"/>
    </xf>
    <xf numFmtId="0" fontId="43" fillId="23" borderId="0" xfId="0" applyFont="1" applyFill="1"/>
    <xf numFmtId="0" fontId="0" fillId="23" borderId="0" xfId="0" applyFill="1"/>
    <xf numFmtId="0" fontId="45" fillId="23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top" wrapText="1"/>
    </xf>
    <xf numFmtId="0" fontId="47" fillId="24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8" fillId="25" borderId="15" xfId="0" applyFont="1" applyFill="1" applyBorder="1" applyAlignment="1">
      <alignment horizontal="center" vertical="center" wrapText="1"/>
    </xf>
    <xf numFmtId="0" fontId="48" fillId="26" borderId="15" xfId="0" applyFont="1" applyFill="1" applyBorder="1" applyAlignment="1">
      <alignment horizontal="center" vertical="center" wrapText="1"/>
    </xf>
    <xf numFmtId="0" fontId="48" fillId="27" borderId="15" xfId="0" applyFont="1" applyFill="1" applyBorder="1" applyAlignment="1">
      <alignment horizontal="center" vertical="center" wrapText="1"/>
    </xf>
    <xf numFmtId="0" fontId="47" fillId="28" borderId="1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2" fillId="11" borderId="1" xfId="0" applyFont="1" applyFill="1" applyBorder="1"/>
    <xf numFmtId="0" fontId="49" fillId="0" borderId="7" xfId="0" applyFont="1" applyBorder="1"/>
    <xf numFmtId="0" fontId="50" fillId="0" borderId="3" xfId="0" applyFont="1" applyBorder="1" applyAlignment="1">
      <alignment horizontal="center" vertical="center"/>
    </xf>
    <xf numFmtId="2" fontId="36" fillId="29" borderId="1" xfId="0" applyNumberFormat="1" applyFont="1" applyFill="1" applyBorder="1" applyAlignment="1">
      <alignment horizontal="center" vertical="center" wrapText="1"/>
    </xf>
    <xf numFmtId="2" fontId="18" fillId="29" borderId="1" xfId="0" applyNumberFormat="1" applyFont="1" applyFill="1" applyBorder="1" applyAlignment="1">
      <alignment horizontal="center" vertical="center" wrapText="1"/>
    </xf>
    <xf numFmtId="9" fontId="29" fillId="5" borderId="1" xfId="0" applyNumberFormat="1" applyFont="1" applyFill="1" applyBorder="1" applyAlignment="1">
      <alignment horizontal="center" vertical="center" wrapText="1"/>
    </xf>
    <xf numFmtId="9" fontId="29" fillId="11" borderId="1" xfId="0" applyNumberFormat="1" applyFont="1" applyFill="1" applyBorder="1" applyAlignment="1">
      <alignment horizontal="center" vertical="center" wrapText="1"/>
    </xf>
    <xf numFmtId="0" fontId="51" fillId="0" borderId="0" xfId="0" applyFont="1"/>
    <xf numFmtId="0" fontId="31" fillId="0" borderId="0" xfId="0" applyFont="1"/>
    <xf numFmtId="0" fontId="0" fillId="0" borderId="0" xfId="0"/>
    <xf numFmtId="0" fontId="7" fillId="11" borderId="2" xfId="0" applyFont="1" applyFill="1" applyBorder="1" applyAlignment="1">
      <alignment horizontal="left" vertical="top" wrapText="1"/>
    </xf>
    <xf numFmtId="0" fontId="0" fillId="0" borderId="6" xfId="0" applyBorder="1"/>
    <xf numFmtId="0" fontId="19" fillId="3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16" fillId="5" borderId="2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27" fillId="0" borderId="0" xfId="0" applyFont="1"/>
    <xf numFmtId="0" fontId="7" fillId="0" borderId="3" xfId="0" applyFont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30" fillId="0" borderId="0" xfId="0" applyFont="1"/>
    <xf numFmtId="0" fontId="3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4" fillId="0" borderId="0" xfId="0" applyFont="1"/>
    <xf numFmtId="0" fontId="19" fillId="4" borderId="0" xfId="0" applyFont="1" applyFill="1" applyAlignment="1">
      <alignment horizontal="center" vertical="center" wrapText="1"/>
    </xf>
    <xf numFmtId="0" fontId="32" fillId="0" borderId="0" xfId="0" applyFont="1"/>
    <xf numFmtId="0" fontId="46" fillId="0" borderId="0" xfId="0" applyFont="1"/>
    <xf numFmtId="0" fontId="34" fillId="0" borderId="0" xfId="0" applyFont="1"/>
    <xf numFmtId="0" fontId="44" fillId="0" borderId="0" xfId="0" applyFont="1" applyAlignment="1">
      <alignment horizontal="left" vertical="top" wrapText="1"/>
    </xf>
    <xf numFmtId="0" fontId="16" fillId="11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10" fontId="8" fillId="5" borderId="7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0" fontId="0" fillId="0" borderId="12" xfId="0" applyBorder="1"/>
    <xf numFmtId="1" fontId="18" fillId="9" borderId="1" xfId="0" applyNumberFormat="1" applyFont="1" applyFill="1" applyBorder="1" applyAlignment="1">
      <alignment horizontal="center" vertical="center" wrapText="1"/>
    </xf>
    <xf numFmtId="10" fontId="24" fillId="11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5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0" fontId="17" fillId="5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top" wrapText="1"/>
    </xf>
    <xf numFmtId="1" fontId="18" fillId="13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2" fontId="2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1" fontId="18" fillId="12" borderId="1" xfId="0" applyNumberFormat="1" applyFont="1" applyFill="1" applyBorder="1" applyAlignment="1">
      <alignment horizontal="center" vertical="center" wrapText="1"/>
    </xf>
    <xf numFmtId="1" fontId="18" fillId="14" borderId="1" xfId="0" applyNumberFormat="1" applyFont="1" applyFill="1" applyBorder="1" applyAlignment="1">
      <alignment horizontal="center" vertical="center" wrapText="1"/>
    </xf>
    <xf numFmtId="10" fontId="24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left" vertical="center" wrapText="1"/>
    </xf>
    <xf numFmtId="0" fontId="26" fillId="0" borderId="0" xfId="0" applyFont="1"/>
    <xf numFmtId="0" fontId="7" fillId="0" borderId="1" xfId="0" applyFont="1" applyBorder="1" applyAlignment="1">
      <alignment horizontal="left" vertical="top" wrapText="1"/>
    </xf>
    <xf numFmtId="0" fontId="39" fillId="3" borderId="0" xfId="0" applyFont="1" applyFill="1"/>
    <xf numFmtId="0" fontId="32" fillId="0" borderId="0" xfId="0" applyFont="1" applyAlignment="1">
      <alignment horizontal="left" vertical="top" wrapText="1"/>
    </xf>
    <xf numFmtId="0" fontId="52" fillId="0" borderId="0" xfId="0" applyFont="1"/>
    <xf numFmtId="0" fontId="53" fillId="30" borderId="0" xfId="0" applyFont="1" applyFill="1"/>
  </cellXfs>
  <cellStyles count="1">
    <cellStyle name="Normal" xfId="0" builtinId="0"/>
  </cellStyles>
  <dxfs count="12">
    <dxf>
      <font>
        <b/>
        <color rgb="FFFFFFFF"/>
      </font>
      <fill>
        <patternFill>
          <bgColor rgb="FFE06666"/>
        </patternFill>
      </fill>
    </dxf>
    <dxf>
      <font>
        <b/>
        <color rgb="FF1B2430"/>
      </font>
      <fill>
        <patternFill>
          <bgColor rgb="FFFFD966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C9E4A6"/>
        </patternFill>
      </fill>
    </dxf>
    <dxf>
      <fill>
        <patternFill>
          <bgColor rgb="FFA9D18E"/>
        </patternFill>
      </fill>
    </dxf>
    <dxf>
      <font>
        <b/>
        <color rgb="FFFFFFFF"/>
      </font>
      <fill>
        <patternFill>
          <bgColor rgb="FF538135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55606E"/>
      <rgbColor rgb="FF800080"/>
      <rgbColor rgb="FF008080"/>
      <rgbColor rgb="FFB9C2CE"/>
      <rgbColor rgb="FF7C8CA6"/>
      <rgbColor rgb="FF9999FF"/>
      <rgbColor rgb="FF475269"/>
      <rgbColor rgb="FFF2F4F7"/>
      <rgbColor rgb="FFFFE3CC"/>
      <rgbColor rgb="FF660066"/>
      <rgbColor rgb="FFE06666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4A6"/>
      <rgbColor rgb="FFFFF2A0"/>
      <rgbColor rgb="FFA9D18E"/>
      <rgbColor rgb="FFF1A9A0"/>
      <rgbColor rgb="FFF4B183"/>
      <rgbColor rgb="FFFCE29B"/>
      <rgbColor rgb="FF3366FF"/>
      <rgbColor rgb="FF33CCCC"/>
      <rgbColor rgb="FF99CC00"/>
      <rgbColor rgb="FFF2C230"/>
      <rgbColor rgb="FFF5B27A"/>
      <rgbColor rgb="FFFF6A13"/>
      <rgbColor rgb="FF5B6B84"/>
      <rgbColor rgb="FF969696"/>
      <rgbColor rgb="FF12294D"/>
      <rgbColor rgb="FF538135"/>
      <rgbColor rgb="FF0C2038"/>
      <rgbColor rgb="FF0B1F3A"/>
      <rgbColor rgb="FFC0392B"/>
      <rgbColor rgb="FF993366"/>
      <rgbColor rgb="FF1B3A63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p TKPMR PKT" id="{636F4FD5-16A3-4E69-B58D-B92F078D64D6}" userId="S::DepTKPMRPKT@PKT841.onmicrosoft.com::aac8f27f-559a-44e3-8299-2de9d21f391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7-17T01:56:39.35" personId="{636F4FD5-16A3-4E69-B58D-B92F078D64D6}" id="{B9DD1392-BF6A-4F7C-A6A5-C5BF8D948BD4}">
    <text>Peta Risiko L nya vertikal, C nya horizontal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3" dT="2026-07-17T01:48:15.15" personId="{636F4FD5-16A3-4E69-B58D-B92F078D64D6}" id="{C20A8778-28FA-465F-A8ED-DDA081087E76}">
    <text>First Shipment, Delay dengan tolerance (On Time, sudah Waspada)</text>
  </threadedComment>
  <threadedComment ref="C64" dT="2026-07-17T01:47:50.28" personId="{636F4FD5-16A3-4E69-B58D-B92F078D64D6}" id="{18281803-C38B-4547-B84B-0772199CD57F}">
    <text>Project Progress</text>
  </threadedComment>
  <threadedComment ref="C65" dT="2026-07-17T01:48:49.17" personId="{636F4FD5-16A3-4E69-B58D-B92F078D64D6}" id="{8AC54FF4-8EEE-43E7-86D8-9BC271053192}">
    <text>Offtaker Agreement</text>
  </threadedComment>
  <threadedComment ref="C66" dT="2026-07-17T01:51:23.27" personId="{636F4FD5-16A3-4E69-B58D-B92F078D64D6}" id="{9272A71A-47D7-4D6C-B2E5-943687BB0ADF}">
    <text>Bobot EPC A B C 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A13"/>
    <pageSetUpPr fitToPage="1"/>
  </sheetPr>
  <dimension ref="B1:W37"/>
  <sheetViews>
    <sheetView showGridLines="0" zoomScaleNormal="100" workbookViewId="0">
      <pane xSplit="1" ySplit="4" topLeftCell="O5" activePane="bottomRight" state="frozen"/>
      <selection pane="topRight" activeCell="B1" sqref="B1"/>
      <selection pane="bottomLeft" activeCell="A19" sqref="A19"/>
      <selection pane="bottomRight" activeCell="S6" sqref="S6:W10"/>
    </sheetView>
  </sheetViews>
  <sheetFormatPr defaultColWidth="8.59765625" defaultRowHeight="14.25" x14ac:dyDescent="0.45"/>
  <cols>
    <col min="1" max="1" width="1.53125" customWidth="1"/>
    <col min="2" max="13" width="7.265625" customWidth="1"/>
    <col min="14" max="14" width="14.06640625" bestFit="1" customWidth="1"/>
    <col min="15" max="23" width="7.265625" customWidth="1"/>
  </cols>
  <sheetData>
    <row r="1" spans="2:23" ht="30" customHeight="1" x14ac:dyDescent="0.45">
      <c r="B1" s="182" t="s">
        <v>378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8"/>
    </row>
    <row r="2" spans="2:23" ht="18" customHeight="1" x14ac:dyDescent="0.45">
      <c r="B2" s="152" t="str">
        <f ca="1">"Reporting Period: "&amp;Input_Bulanan!D5&amp;"   |   Status: "&amp;Input_Bulanan!F5&amp;"   |   Dicetak: "&amp;TEXT(TODAY(),"DD-MM-YYYY")</f>
        <v>Reporting Period: Agustus 2026   |   Status: DRAFT   |   Dicetak: 20-07-2026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2:23" ht="6" customHeight="1" x14ac:dyDescent="0.45"/>
    <row r="4" spans="2:23" ht="19.5" customHeight="1" x14ac:dyDescent="0.45">
      <c r="B4" s="153" t="s">
        <v>47</v>
      </c>
      <c r="C4" s="116"/>
      <c r="D4" s="116"/>
      <c r="E4" s="116"/>
      <c r="F4" s="116"/>
      <c r="G4" s="116"/>
      <c r="H4" s="116"/>
      <c r="I4" s="116"/>
      <c r="J4" s="116"/>
      <c r="K4" s="116"/>
      <c r="L4" s="118"/>
      <c r="M4" s="153" t="s">
        <v>48</v>
      </c>
      <c r="N4" s="116"/>
      <c r="O4" s="116"/>
      <c r="P4" s="116"/>
      <c r="Q4" s="116"/>
      <c r="R4" s="116"/>
      <c r="S4" s="116"/>
      <c r="T4" s="116"/>
      <c r="U4" s="116"/>
      <c r="V4" s="116"/>
      <c r="W4" s="118"/>
    </row>
    <row r="5" spans="2:23" ht="15.75" customHeight="1" x14ac:dyDescent="0.45">
      <c r="B5" s="162" t="s">
        <v>49</v>
      </c>
      <c r="C5" s="116"/>
      <c r="D5" s="116"/>
      <c r="E5" s="116"/>
      <c r="F5" s="118"/>
      <c r="G5" s="162" t="s">
        <v>50</v>
      </c>
      <c r="H5" s="116"/>
      <c r="I5" s="116"/>
      <c r="J5" s="116"/>
      <c r="K5" s="116"/>
      <c r="L5" s="118"/>
      <c r="M5" s="162" t="s">
        <v>51</v>
      </c>
      <c r="N5" s="116"/>
      <c r="O5" s="116"/>
      <c r="P5" s="116"/>
      <c r="Q5" s="118"/>
      <c r="R5" s="147" t="s">
        <v>52</v>
      </c>
      <c r="S5" s="116"/>
      <c r="T5" s="116"/>
      <c r="U5" s="116"/>
      <c r="V5" s="116"/>
      <c r="W5" s="118"/>
    </row>
    <row r="6" spans="2:23" ht="15.75" customHeight="1" x14ac:dyDescent="0.45">
      <c r="B6" s="192">
        <f>((IF(Input_Bulanan!D11&gt;=1,100,Input_Bulanan!D11*100)*0.2)+(IF(Input_Bulanan!D13&gt;=1,100,Input_Bulanan!D13*100)*0.2)+(Input_Bulanan!D22*100*0.2)+(Input_Bulanan!D29*100*0.2)+(Input_Bulanan!D38*100*0.2))/100</f>
        <v>0.69100000000000006</v>
      </c>
      <c r="C6" s="156"/>
      <c r="D6" s="156"/>
      <c r="E6" s="156"/>
      <c r="F6" s="142"/>
      <c r="G6" s="160" t="s">
        <v>53</v>
      </c>
      <c r="H6" s="156"/>
      <c r="I6" s="156"/>
      <c r="J6" s="156"/>
      <c r="K6" s="141">
        <f>Input_Bulanan!D22</f>
        <v>6.7000000000000004E-2</v>
      </c>
      <c r="L6" s="142"/>
      <c r="M6" s="155" t="str">
        <f>Input_Bulanan!D45</f>
        <v>Moderate</v>
      </c>
      <c r="N6" s="156"/>
      <c r="O6" s="156"/>
      <c r="P6" s="156"/>
      <c r="Q6" s="142"/>
      <c r="R6" s="1" t="s">
        <v>402</v>
      </c>
      <c r="S6" s="5" t="str">
        <f>IF(AND(Input_Bulanan!$G$74=1,Input_Bulanan!$F$74=5),Input_Bulanan!$C$74,IF(AND(Input_Bulanan!$G$75=1,Input_Bulanan!$F$75=5),Input_Bulanan!$C$75,IF(AND(Input_Bulanan!$G$76=1,Input_Bulanan!$F$76=5),Input_Bulanan!$C$76,IF(AND(Input_Bulanan!$G$77=1,Input_Bulanan!$F$77=5),Input_Bulanan!$C$77,""))))</f>
        <v/>
      </c>
      <c r="T6" s="3" t="str">
        <f>IF(AND(Input_Bulanan!$G$74=2,Input_Bulanan!$F$74=5),Input_Bulanan!$C$74,IF(AND(Input_Bulanan!$G$75=2,Input_Bulanan!$F$75=5),Input_Bulanan!$C$75,IF(AND(Input_Bulanan!$G$76=2,Input_Bulanan!$F$76=5),Input_Bulanan!$C$76,IF(AND(Input_Bulanan!$G$77=2,Input_Bulanan!$F$77=5),Input_Bulanan!$C$77,""))))</f>
        <v/>
      </c>
      <c r="U6" s="4" t="str">
        <f>IF(AND(Input_Bulanan!$G$74=3,Input_Bulanan!$F$74=5),Input_Bulanan!$C$74,IF(AND(Input_Bulanan!$G$75=3,Input_Bulanan!$F$75=5),Input_Bulanan!$C$75,IF(AND(Input_Bulanan!$G$76=3,Input_Bulanan!$F$76=5),Input_Bulanan!$C$76,IF(AND(Input_Bulanan!$G$77=3,Input_Bulanan!$F$77=5),Input_Bulanan!$C$77,""))))</f>
        <v/>
      </c>
      <c r="V6" s="2" t="str">
        <f>IF(AND(Input_Bulanan!$G$74=4,Input_Bulanan!$F$74=5),Input_Bulanan!$C$74,IF(AND(Input_Bulanan!$G$75=4,Input_Bulanan!$F$75=5),Input_Bulanan!$C$75,IF(AND(Input_Bulanan!$G$76=4,Input_Bulanan!$F$76=5),Input_Bulanan!$C$76,IF(AND(Input_Bulanan!$G$77=4,Input_Bulanan!$F$77=5),Input_Bulanan!$C$77,""))))</f>
        <v/>
      </c>
      <c r="W6" s="2" t="str">
        <f>IF(AND(Input_Bulanan!$G$74=5,Input_Bulanan!$F$74=5),Input_Bulanan!$C$74,IF(AND(Input_Bulanan!$G$75=5,Input_Bulanan!$F$75=5),Input_Bulanan!$C$75,IF(AND(Input_Bulanan!$G$76=5,Input_Bulanan!$F$76=5),Input_Bulanan!$C$76,IF(AND(Input_Bulanan!$G$77=5,Input_Bulanan!$F$77=5),Input_Bulanan!$C$77,""))))</f>
        <v>C2</v>
      </c>
    </row>
    <row r="7" spans="2:23" ht="15.75" customHeight="1" x14ac:dyDescent="0.45">
      <c r="B7" s="157"/>
      <c r="C7" s="114"/>
      <c r="D7" s="114"/>
      <c r="E7" s="114"/>
      <c r="F7" s="158"/>
      <c r="G7" s="159"/>
      <c r="H7" s="143"/>
      <c r="I7" s="143"/>
      <c r="J7" s="143"/>
      <c r="K7" s="143"/>
      <c r="L7" s="144"/>
      <c r="M7" s="157"/>
      <c r="N7" s="114"/>
      <c r="O7" s="114"/>
      <c r="P7" s="114"/>
      <c r="Q7" s="158"/>
      <c r="R7" s="1" t="s">
        <v>403</v>
      </c>
      <c r="S7" s="6" t="str">
        <f>IF(AND(Input_Bulanan!$G$74=1,Input_Bulanan!$F$74=4),Input_Bulanan!$C$74,IF(AND(Input_Bulanan!$G$75=1,Input_Bulanan!$F$75=4),Input_Bulanan!$C$75,IF(AND(Input_Bulanan!$G$76=1,Input_Bulanan!$F$76=4),Input_Bulanan!$C$76,IF(AND(Input_Bulanan!$G$77=1,Input_Bulanan!$F$77=4),Input_Bulanan!$C$77,""))))</f>
        <v/>
      </c>
      <c r="T7" s="5" t="str">
        <f>IF(AND(Input_Bulanan!$G$74=2,Input_Bulanan!$F$74=4),Input_Bulanan!$C$74,IF(AND(Input_Bulanan!$G$75=2,Input_Bulanan!$F$75=4),Input_Bulanan!$C$75,IF(AND(Input_Bulanan!$G$76=2,Input_Bulanan!$F$76=4),Input_Bulanan!$C$76,IF(AND(Input_Bulanan!$G$77=2,Input_Bulanan!$F$77=4),Input_Bulanan!$C$77,""))))</f>
        <v/>
      </c>
      <c r="U7" s="3" t="str">
        <f>IF(AND(Input_Bulanan!$G$74=3,Input_Bulanan!$F$74=4),Input_Bulanan!$C$74,IF(AND(Input_Bulanan!$G$75=3,Input_Bulanan!$F$75=4),Input_Bulanan!$C$75,IF(AND(Input_Bulanan!$G$76=3,Input_Bulanan!$F$76=4),Input_Bulanan!$C$76,IF(AND(Input_Bulanan!$G$77=3,Input_Bulanan!$F$77=4),Input_Bulanan!$C$77,""))))</f>
        <v/>
      </c>
      <c r="V7" s="4" t="str">
        <f>IF(AND(Input_Bulanan!$G$74=4,Input_Bulanan!$F$74=4),Input_Bulanan!$C$74,IF(AND(Input_Bulanan!$G$75=4,Input_Bulanan!$F$75=4),Input_Bulanan!$C$75,IF(AND(Input_Bulanan!$G$76=4,Input_Bulanan!$F$76=4),Input_Bulanan!$C$76,IF(AND(Input_Bulanan!$G$77=4,Input_Bulanan!$F$77=4),Input_Bulanan!$C$77,""))))</f>
        <v>C3</v>
      </c>
      <c r="W7" s="2" t="str">
        <f>IF(AND(Input_Bulanan!$G$74=5,Input_Bulanan!$F$74=4),Input_Bulanan!$C$74,IF(AND(Input_Bulanan!$G$75=5,Input_Bulanan!$F$75=4),Input_Bulanan!$C$75,IF(AND(Input_Bulanan!$G$76=5,Input_Bulanan!$F$76=4),Input_Bulanan!$C$76,IF(AND(Input_Bulanan!$G$77=5,Input_Bulanan!$F$77=4),Input_Bulanan!$C$77,""))))</f>
        <v>C1</v>
      </c>
    </row>
    <row r="8" spans="2:23" ht="15.75" customHeight="1" x14ac:dyDescent="0.45">
      <c r="B8" s="157"/>
      <c r="C8" s="114"/>
      <c r="D8" s="114"/>
      <c r="E8" s="114"/>
      <c r="F8" s="158"/>
      <c r="G8" s="160" t="s">
        <v>54</v>
      </c>
      <c r="H8" s="156"/>
      <c r="I8" s="156"/>
      <c r="J8" s="156"/>
      <c r="K8" s="141">
        <f>Input_Bulanan!D29</f>
        <v>0.76800000000000002</v>
      </c>
      <c r="L8" s="142"/>
      <c r="M8" s="157"/>
      <c r="N8" s="114"/>
      <c r="O8" s="114"/>
      <c r="P8" s="114"/>
      <c r="Q8" s="158"/>
      <c r="R8" s="1" t="s">
        <v>404</v>
      </c>
      <c r="S8" s="6" t="str">
        <f>IF(AND(Input_Bulanan!$G$74=1,Input_Bulanan!$F$74=3),Input_Bulanan!$C$74,IF(AND(Input_Bulanan!$G$75=1,Input_Bulanan!$F$75=3),Input_Bulanan!$C$75,IF(AND(Input_Bulanan!$G$76=1,Input_Bulanan!$F$76=3),Input_Bulanan!$C$76,IF(AND(Input_Bulanan!$G$77=1,Input_Bulanan!$F$77=3),Input_Bulanan!$C$77,""))))</f>
        <v/>
      </c>
      <c r="T8" s="5" t="str">
        <f>IF(AND(Input_Bulanan!$G$74=2,Input_Bulanan!$F$74=3),Input_Bulanan!$C$74,IF(AND(Input_Bulanan!$G$75=2,Input_Bulanan!$F$75=3),Input_Bulanan!$C$75,IF(AND(Input_Bulanan!$G$76=2,Input_Bulanan!$F$76=3),Input_Bulanan!$C$76,IF(AND(Input_Bulanan!$G$77=2,Input_Bulanan!$F$77=3),Input_Bulanan!$C$77,""))))</f>
        <v/>
      </c>
      <c r="U8" s="3" t="str">
        <f>IF(AND(Input_Bulanan!$G$74=3,Input_Bulanan!$F$74=3),Input_Bulanan!$C$74,IF(AND(Input_Bulanan!$G$75=3,Input_Bulanan!$F$75=3),Input_Bulanan!$C$75,IF(AND(Input_Bulanan!$G$76=3,Input_Bulanan!$F$76=3),Input_Bulanan!$C$76,IF(AND(Input_Bulanan!$G$77=3,Input_Bulanan!$F$77=3),Input_Bulanan!$C$77,""))))</f>
        <v>C4</v>
      </c>
      <c r="V8" s="4" t="str">
        <f>IF(AND(Input_Bulanan!$G$74=4,Input_Bulanan!$F$74=3),Input_Bulanan!$C$74,IF(AND(Input_Bulanan!$G$75=4,Input_Bulanan!$F$75=3),Input_Bulanan!$C$75,IF(AND(Input_Bulanan!$G$76=4,Input_Bulanan!$F$76=3),Input_Bulanan!$C$76,IF(AND(Input_Bulanan!$G$77=4,Input_Bulanan!$F$77=3),Input_Bulanan!$C$77,""))))</f>
        <v/>
      </c>
      <c r="W8" s="2" t="str">
        <f>IF(AND(Input_Bulanan!$G$74=5,Input_Bulanan!$F$74=3),Input_Bulanan!$C$74,IF(AND(Input_Bulanan!$G$75=5,Input_Bulanan!$F$75=3),Input_Bulanan!$C$75,IF(AND(Input_Bulanan!$G$76=5,Input_Bulanan!$F$76=3),Input_Bulanan!$C$76,IF(AND(Input_Bulanan!$G$77=5,Input_Bulanan!$F$77=3),Input_Bulanan!$C$77,""))))</f>
        <v/>
      </c>
    </row>
    <row r="9" spans="2:23" ht="15.75" customHeight="1" x14ac:dyDescent="0.45">
      <c r="B9" s="159"/>
      <c r="C9" s="143"/>
      <c r="D9" s="143"/>
      <c r="E9" s="143"/>
      <c r="F9" s="144"/>
      <c r="G9" s="159"/>
      <c r="H9" s="143"/>
      <c r="I9" s="143"/>
      <c r="J9" s="143"/>
      <c r="K9" s="143"/>
      <c r="L9" s="144"/>
      <c r="M9" s="159"/>
      <c r="N9" s="143"/>
      <c r="O9" s="143"/>
      <c r="P9" s="143"/>
      <c r="Q9" s="144"/>
      <c r="R9" s="1" t="s">
        <v>405</v>
      </c>
      <c r="S9" s="6" t="str">
        <f>IF(AND(Input_Bulanan!$G$74=1,Input_Bulanan!$F$74=2),Input_Bulanan!$C$74,IF(AND(Input_Bulanan!$G$75=1,Input_Bulanan!$F$75=2),Input_Bulanan!$C$75,IF(AND(Input_Bulanan!$G$76=1,Input_Bulanan!$F$76=2),Input_Bulanan!$C$76,IF(AND(Input_Bulanan!$G$77=1,Input_Bulanan!$F$77=2),Input_Bulanan!$C$77,""))))</f>
        <v/>
      </c>
      <c r="T9" s="5" t="str">
        <f>IF(AND(Input_Bulanan!$G$74=2,Input_Bulanan!$F$74=2),Input_Bulanan!$C$74,IF(AND(Input_Bulanan!$G$75=2,Input_Bulanan!$F$75=2),Input_Bulanan!$C$75,IF(AND(Input_Bulanan!$G$76=2,Input_Bulanan!$F$76=2),Input_Bulanan!$C$76,IF(AND(Input_Bulanan!$G$77=2,Input_Bulanan!$F$77=2),Input_Bulanan!$C$77,""))))</f>
        <v/>
      </c>
      <c r="U9" s="5" t="str">
        <f>IF(AND(Input_Bulanan!$G$74=3,Input_Bulanan!$F$74=2),Input_Bulanan!$C$74,IF(AND(Input_Bulanan!$G$75=3,Input_Bulanan!$F$75=2),Input_Bulanan!$C$75,IF(AND(Input_Bulanan!$G$76=3,Input_Bulanan!$F$76=2),Input_Bulanan!$C$76,IF(AND(Input_Bulanan!$G$77=3,Input_Bulanan!$F$77=2),Input_Bulanan!$C$77,""))))</f>
        <v/>
      </c>
      <c r="V9" s="4" t="str">
        <f>IF(AND(Input_Bulanan!$G$74=4,Input_Bulanan!$F$74=2),Input_Bulanan!$C$74,IF(AND(Input_Bulanan!$G$75=4,Input_Bulanan!$F$75=2),Input_Bulanan!$C$75,IF(AND(Input_Bulanan!$G$76=4,Input_Bulanan!$F$76=2),Input_Bulanan!$C$76,IF(AND(Input_Bulanan!$G$77=4,Input_Bulanan!$F$77=2),Input_Bulanan!$C$77,""))))</f>
        <v/>
      </c>
      <c r="W9" s="2" t="str">
        <f>IF(AND(Input_Bulanan!$G$74=5,Input_Bulanan!$F$74=2),Input_Bulanan!$C$74,IF(AND(Input_Bulanan!$G$75=5,Input_Bulanan!$F$75=2),Input_Bulanan!$C$75,IF(AND(Input_Bulanan!$G$76=5,Input_Bulanan!$F$76=2),Input_Bulanan!$C$76,IF(AND(Input_Bulanan!$G$77=5,Input_Bulanan!$F$77=2),Input_Bulanan!$C$77,""))))</f>
        <v/>
      </c>
    </row>
    <row r="10" spans="2:23" ht="15.75" customHeight="1" x14ac:dyDescent="0.45">
      <c r="B10" s="191" t="str">
        <f>IF(B6&gt;=0.9,"HIJAU - SEHAT",IF(B6&gt;=0.75,"KUNING - PANTAU",IF(B6&gt;=0.6,"ORANYE - WASPADA","MERAH - KRITIS")))</f>
        <v>ORANYE - WASPADA</v>
      </c>
      <c r="C10" s="156"/>
      <c r="D10" s="156"/>
      <c r="E10" s="156"/>
      <c r="F10" s="142"/>
      <c r="G10" s="160" t="s">
        <v>55</v>
      </c>
      <c r="H10" s="156"/>
      <c r="I10" s="156"/>
      <c r="J10" s="156"/>
      <c r="K10" s="141">
        <f>Input_Bulanan!D38</f>
        <v>0.62</v>
      </c>
      <c r="L10" s="142"/>
      <c r="M10" s="168" t="str">
        <f>"Skor Komposit: "&amp;TEXT(Input_Bulanan!D44,"0,00")&amp;" / 100"</f>
        <v>Skor Komposit: 45,80 / 100</v>
      </c>
      <c r="N10" s="156"/>
      <c r="O10" s="156"/>
      <c r="P10" s="156"/>
      <c r="Q10" s="142"/>
      <c r="R10" s="1" t="s">
        <v>406</v>
      </c>
      <c r="S10" s="6" t="str">
        <f>IF(AND(Input_Bulanan!$G$74=1,Input_Bulanan!$F$74=1),Input_Bulanan!$C$74,IF(AND(Input_Bulanan!$G$75=1,Input_Bulanan!$F$75=1),Input_Bulanan!$C$75,IF(AND(Input_Bulanan!$G$76=1,Input_Bulanan!$F$76=1),Input_Bulanan!$C$76,IF(AND(Input_Bulanan!$G$77=1,Input_Bulanan!$F$77=1),Input_Bulanan!$C$77,""))))</f>
        <v/>
      </c>
      <c r="T10" s="6" t="str">
        <f>IF(AND(Input_Bulanan!$G$74=2,Input_Bulanan!$F$74=1),Input_Bulanan!$C$74,IF(AND(Input_Bulanan!$G$75=2,Input_Bulanan!$F$75=1),Input_Bulanan!$C$75,IF(AND(Input_Bulanan!$G$76=2,Input_Bulanan!$F$76=1),Input_Bulanan!$C$76,IF(AND(Input_Bulanan!$G$77=2,Input_Bulanan!$F$77=1),Input_Bulanan!$C$77,""))))</f>
        <v/>
      </c>
      <c r="U10" s="5" t="str">
        <f>IF(AND(Input_Bulanan!$G$74=3,Input_Bulanan!$F$74=1),Input_Bulanan!$C$74,IF(AND(Input_Bulanan!$G$75=3,Input_Bulanan!$F$75=1),Input_Bulanan!$C$75,IF(AND(Input_Bulanan!$G$76=3,Input_Bulanan!$F$76=1),Input_Bulanan!$C$76,IF(AND(Input_Bulanan!$G$77=3,Input_Bulanan!$F$77=1),Input_Bulanan!$C$77,""))))</f>
        <v/>
      </c>
      <c r="V10" s="3" t="str">
        <f>IF(AND(Input_Bulanan!$G$74=4,Input_Bulanan!$F$74=1),Input_Bulanan!$C$74,IF(AND(Input_Bulanan!$G$75=4,Input_Bulanan!$F$75=1),Input_Bulanan!$C$75,IF(AND(Input_Bulanan!$G$76=4,Input_Bulanan!$F$76=1),Input_Bulanan!$C$76,IF(AND(Input_Bulanan!$G$77=4,Input_Bulanan!$F$77=1),Input_Bulanan!$C$77,""))))</f>
        <v/>
      </c>
      <c r="W10" s="2" t="str">
        <f>IF(AND(Input_Bulanan!$G$74=5,Input_Bulanan!$F$74=1),Input_Bulanan!$C$74,IF(AND(Input_Bulanan!$G$75=5,Input_Bulanan!$F$75=1),Input_Bulanan!$C$75,IF(AND(Input_Bulanan!$G$76=5,Input_Bulanan!$F$76=1),Input_Bulanan!$C$76,IF(AND(Input_Bulanan!$G$77=5,Input_Bulanan!$F$77=1),Input_Bulanan!$C$77,""))))</f>
        <v/>
      </c>
    </row>
    <row r="11" spans="2:23" ht="12" customHeight="1" x14ac:dyDescent="0.45">
      <c r="B11" s="159"/>
      <c r="C11" s="143"/>
      <c r="D11" s="143"/>
      <c r="E11" s="143"/>
      <c r="F11" s="144"/>
      <c r="G11" s="159"/>
      <c r="H11" s="143"/>
      <c r="I11" s="143"/>
      <c r="J11" s="143"/>
      <c r="K11" s="143"/>
      <c r="L11" s="144"/>
      <c r="M11" s="159"/>
      <c r="N11" s="143"/>
      <c r="O11" s="143"/>
      <c r="P11" s="143"/>
      <c r="Q11" s="144"/>
      <c r="R11" s="7" t="s">
        <v>407</v>
      </c>
      <c r="S11" s="8">
        <v>1</v>
      </c>
      <c r="T11" s="8">
        <v>2</v>
      </c>
      <c r="U11" s="8">
        <v>3</v>
      </c>
      <c r="V11" s="8">
        <v>4</v>
      </c>
      <c r="W11" s="8">
        <v>5</v>
      </c>
    </row>
    <row r="12" spans="2:23" ht="15.75" customHeight="1" x14ac:dyDescent="0.45">
      <c r="B12" s="162" t="s">
        <v>56</v>
      </c>
      <c r="C12" s="116"/>
      <c r="D12" s="116"/>
      <c r="E12" s="116"/>
      <c r="F12" s="118"/>
      <c r="G12" s="162" t="s">
        <v>57</v>
      </c>
      <c r="H12" s="116"/>
      <c r="I12" s="116"/>
      <c r="J12" s="116"/>
      <c r="K12" s="116"/>
      <c r="L12" s="118"/>
      <c r="M12" s="162" t="s">
        <v>58</v>
      </c>
      <c r="N12" s="116"/>
      <c r="O12" s="116"/>
      <c r="P12" s="116"/>
      <c r="Q12" s="118"/>
      <c r="R12" s="162" t="s">
        <v>59</v>
      </c>
      <c r="S12" s="116"/>
      <c r="T12" s="116"/>
      <c r="U12" s="116"/>
      <c r="V12" s="116"/>
      <c r="W12" s="118"/>
    </row>
    <row r="13" spans="2:23" ht="24" customHeight="1" x14ac:dyDescent="0.45">
      <c r="B13" s="148" t="s">
        <v>60</v>
      </c>
      <c r="C13" s="116"/>
      <c r="D13" s="118"/>
      <c r="E13" s="165">
        <f>Input_Bulanan!D11</f>
        <v>1</v>
      </c>
      <c r="F13" s="118"/>
      <c r="G13" s="187" t="s">
        <v>61</v>
      </c>
      <c r="H13" s="116"/>
      <c r="I13" s="118"/>
      <c r="J13" s="167">
        <f>Input_Bulanan!D8</f>
        <v>100</v>
      </c>
      <c r="K13" s="116"/>
      <c r="L13" s="118"/>
      <c r="M13" s="161" t="s">
        <v>62</v>
      </c>
      <c r="N13" s="116"/>
      <c r="O13" s="118"/>
      <c r="P13" s="188">
        <f>Input_Bulanan!D48</f>
        <v>5</v>
      </c>
      <c r="Q13" s="118"/>
      <c r="R13" s="9" t="str">
        <f>Input_Bulanan!C74</f>
        <v>C1</v>
      </c>
      <c r="S13" s="172" t="str">
        <f>Input_Bulanan!D74&amp;"  |  L="&amp;Input_Bulanan!F74&amp;", C="&amp;Input_Bulanan!G74&amp;", Skala="&amp;Input_Bulanan!H74&amp;" -&gt; "&amp;Input_Bulanan!I74</f>
        <v>Salt Supply Disruption (gangguan pasokan garam industri)  |  L=4, C=5, Skala=24 -&gt; High</v>
      </c>
      <c r="T13" s="116"/>
      <c r="U13" s="116"/>
      <c r="V13" s="116"/>
      <c r="W13" s="116"/>
    </row>
    <row r="14" spans="2:23" ht="24" customHeight="1" x14ac:dyDescent="0.45">
      <c r="B14" s="148" t="s">
        <v>63</v>
      </c>
      <c r="C14" s="116"/>
      <c r="D14" s="118"/>
      <c r="E14" s="165">
        <f>Input_Bulanan!D13</f>
        <v>1</v>
      </c>
      <c r="F14" s="118"/>
      <c r="G14" s="187" t="s">
        <v>64</v>
      </c>
      <c r="H14" s="116"/>
      <c r="I14" s="118"/>
      <c r="J14" s="167">
        <f>Input_Bulanan!D9</f>
        <v>100</v>
      </c>
      <c r="K14" s="116"/>
      <c r="L14" s="118"/>
      <c r="M14" s="161" t="s">
        <v>65</v>
      </c>
      <c r="N14" s="116"/>
      <c r="O14" s="118"/>
      <c r="P14" s="170">
        <f>Input_Bulanan!D49</f>
        <v>11</v>
      </c>
      <c r="Q14" s="118"/>
      <c r="R14" s="9" t="str">
        <f>Input_Bulanan!C75</f>
        <v>C2</v>
      </c>
      <c r="S14" s="172" t="str">
        <f>Input_Bulanan!D75&amp;"  |  L="&amp;Input_Bulanan!F75&amp;", C="&amp;Input_Bulanan!G75&amp;", Skala="&amp;Input_Bulanan!H75&amp;" -&gt; "&amp;Input_Bulanan!I75</f>
        <v>Commissioning Delay (keterlambatan commissioning)  |  L=5, C=5, Skala=25 -&gt; High</v>
      </c>
      <c r="T14" s="116"/>
      <c r="U14" s="116"/>
      <c r="V14" s="116"/>
      <c r="W14" s="116"/>
    </row>
    <row r="15" spans="2:23" ht="24" customHeight="1" x14ac:dyDescent="0.45">
      <c r="B15" s="148" t="s">
        <v>66</v>
      </c>
      <c r="C15" s="116"/>
      <c r="D15" s="118"/>
      <c r="E15" s="150">
        <f>Input_Bulanan!D12</f>
        <v>0</v>
      </c>
      <c r="F15" s="118"/>
      <c r="G15" s="187" t="s">
        <v>67</v>
      </c>
      <c r="H15" s="116"/>
      <c r="I15" s="118"/>
      <c r="J15" s="167">
        <f>Input_Bulanan!D10</f>
        <v>100</v>
      </c>
      <c r="K15" s="116"/>
      <c r="L15" s="118"/>
      <c r="M15" s="161" t="s">
        <v>68</v>
      </c>
      <c r="N15" s="116"/>
      <c r="O15" s="118"/>
      <c r="P15" s="189">
        <f>Input_Bulanan!D50</f>
        <v>18</v>
      </c>
      <c r="Q15" s="118"/>
      <c r="R15" s="9" t="str">
        <f>Input_Bulanan!C76</f>
        <v>C3</v>
      </c>
      <c r="S15" s="172" t="str">
        <f>Input_Bulanan!D76&amp;"  |  L="&amp;Input_Bulanan!F76&amp;", C="&amp;Input_Bulanan!G76&amp;", Skala="&amp;Input_Bulanan!H76&amp;" -&gt; "&amp;Input_Bulanan!I76</f>
        <v>EPC Interface Issue (isu EPC interface lintas kontraktor)  |  L=4, C=4, Skala=19 -&gt; Moderate to High</v>
      </c>
      <c r="T15" s="116"/>
      <c r="U15" s="116"/>
      <c r="V15" s="116"/>
      <c r="W15" s="116"/>
    </row>
    <row r="16" spans="2:23" ht="24" customHeight="1" x14ac:dyDescent="0.45">
      <c r="B16" s="148" t="s">
        <v>69</v>
      </c>
      <c r="C16" s="116"/>
      <c r="D16" s="118"/>
      <c r="E16" s="150">
        <f>Input_Bulanan!D14</f>
        <v>0</v>
      </c>
      <c r="F16" s="118"/>
      <c r="G16" s="151" t="s">
        <v>70</v>
      </c>
      <c r="H16" s="116"/>
      <c r="I16" s="116"/>
      <c r="J16" s="116"/>
      <c r="K16" s="116"/>
      <c r="L16" s="118"/>
      <c r="M16" s="161" t="s">
        <v>71</v>
      </c>
      <c r="N16" s="116"/>
      <c r="O16" s="118"/>
      <c r="P16" s="145">
        <f>Input_Bulanan!D51</f>
        <v>4</v>
      </c>
      <c r="Q16" s="118"/>
      <c r="R16" s="9" t="str">
        <f>Input_Bulanan!C77</f>
        <v>C4</v>
      </c>
      <c r="S16" s="172" t="str">
        <f>Input_Bulanan!D77&amp;"  |  L="&amp;Input_Bulanan!F77&amp;", C="&amp;Input_Bulanan!G77&amp;", Skala="&amp;Input_Bulanan!H77&amp;" -&gt; "&amp;Input_Bulanan!I77</f>
        <v>Long Lead Equipment (keterlambatan peralatan utama)  |  L=3, C=3, Skala=13 -&gt; Moderate</v>
      </c>
      <c r="T16" s="116"/>
      <c r="U16" s="116"/>
      <c r="V16" s="116"/>
      <c r="W16" s="116"/>
    </row>
    <row r="17" spans="2:23" ht="15" customHeight="1" x14ac:dyDescent="0.45">
      <c r="L17" s="106"/>
      <c r="M17" s="161" t="s">
        <v>72</v>
      </c>
      <c r="N17" s="116"/>
      <c r="O17" s="118"/>
      <c r="P17" s="145">
        <f>Input_Bulanan!D52</f>
        <v>3</v>
      </c>
      <c r="Q17" s="118"/>
    </row>
    <row r="18" spans="2:23" x14ac:dyDescent="0.45">
      <c r="M18" s="105" t="s">
        <v>73</v>
      </c>
      <c r="N18" s="103"/>
      <c r="O18" s="104"/>
      <c r="P18" s="149">
        <f>Input_Bulanan!D53</f>
        <v>41</v>
      </c>
      <c r="Q18" s="118"/>
    </row>
    <row r="19" spans="2:23" ht="15.75" customHeight="1" x14ac:dyDescent="0.45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2:23" ht="15" customHeight="1" x14ac:dyDescent="0.45">
      <c r="B20" s="173" t="s">
        <v>74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5"/>
      <c r="M20" s="186" t="s">
        <v>75</v>
      </c>
      <c r="N20" s="116"/>
      <c r="O20" s="116"/>
      <c r="P20" s="116"/>
      <c r="Q20" s="118"/>
    </row>
    <row r="21" spans="2:23" ht="15" customHeight="1" x14ac:dyDescent="0.45">
      <c r="B21" s="176"/>
      <c r="C21" s="177"/>
      <c r="D21" s="177"/>
      <c r="E21" s="177"/>
      <c r="F21" s="177"/>
      <c r="G21" s="177"/>
      <c r="H21" s="177"/>
      <c r="I21" s="177"/>
      <c r="J21" s="177"/>
      <c r="K21" s="177"/>
      <c r="L21" s="178"/>
      <c r="M21" s="148" t="s">
        <v>76</v>
      </c>
      <c r="N21" s="116"/>
      <c r="O21" s="118"/>
      <c r="P21" s="163">
        <f>Input_Bulanan!D56</f>
        <v>0.82</v>
      </c>
      <c r="Q21" s="118"/>
    </row>
    <row r="22" spans="2:23" ht="15" customHeight="1" x14ac:dyDescent="0.45">
      <c r="B22" s="176"/>
      <c r="C22" s="177"/>
      <c r="D22" s="177"/>
      <c r="E22" s="177"/>
      <c r="F22" s="177"/>
      <c r="G22" s="177"/>
      <c r="H22" s="177"/>
      <c r="I22" s="177"/>
      <c r="J22" s="177"/>
      <c r="K22" s="177"/>
      <c r="L22" s="178"/>
      <c r="M22" s="148" t="s">
        <v>77</v>
      </c>
      <c r="N22" s="116"/>
      <c r="O22" s="118"/>
      <c r="P22" s="163">
        <f>Input_Bulanan!D57</f>
        <v>0.18</v>
      </c>
      <c r="Q22" s="118"/>
    </row>
    <row r="23" spans="2:23" ht="15" customHeight="1" x14ac:dyDescent="0.45">
      <c r="B23" s="176"/>
      <c r="C23" s="177"/>
      <c r="D23" s="177"/>
      <c r="E23" s="177"/>
      <c r="F23" s="177"/>
      <c r="G23" s="177"/>
      <c r="H23" s="177"/>
      <c r="I23" s="177"/>
      <c r="J23" s="177"/>
      <c r="K23" s="177"/>
      <c r="L23" s="178"/>
      <c r="M23" s="148" t="s">
        <v>78</v>
      </c>
      <c r="N23" s="116"/>
      <c r="O23" s="118"/>
      <c r="P23" s="163">
        <f>Input_Bulanan!D58</f>
        <v>0.76</v>
      </c>
      <c r="Q23" s="118"/>
    </row>
    <row r="24" spans="2:23" ht="14.25" customHeight="1" x14ac:dyDescent="0.45">
      <c r="B24" s="179"/>
      <c r="C24" s="180"/>
      <c r="D24" s="180"/>
      <c r="E24" s="180"/>
      <c r="F24" s="180"/>
      <c r="G24" s="180"/>
      <c r="H24" s="180"/>
      <c r="I24" s="180"/>
      <c r="J24" s="180"/>
      <c r="K24" s="180"/>
      <c r="L24" s="181"/>
      <c r="M24" s="148" t="s">
        <v>79</v>
      </c>
      <c r="N24" s="116"/>
      <c r="O24" s="118"/>
      <c r="P24" s="183">
        <f>Input_Bulanan!D59</f>
        <v>5</v>
      </c>
      <c r="Q24" s="118"/>
    </row>
    <row r="25" spans="2:23" ht="18" customHeight="1" x14ac:dyDescent="0.45"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</row>
    <row r="26" spans="2:23" ht="15.75" customHeight="1" x14ac:dyDescent="0.45">
      <c r="B26" s="166" t="s">
        <v>80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8"/>
    </row>
    <row r="27" spans="2:23" ht="25.5" customHeight="1" x14ac:dyDescent="0.45">
      <c r="B27" s="164" t="s">
        <v>81</v>
      </c>
      <c r="C27" s="116"/>
      <c r="D27" s="116"/>
      <c r="E27" s="116"/>
      <c r="F27" s="118"/>
      <c r="G27" s="164" t="s">
        <v>82</v>
      </c>
      <c r="H27" s="116"/>
      <c r="I27" s="116"/>
      <c r="J27" s="118"/>
      <c r="K27" s="164" t="s">
        <v>83</v>
      </c>
      <c r="L27" s="118"/>
      <c r="M27" s="12" t="s">
        <v>84</v>
      </c>
      <c r="N27" s="12" t="s">
        <v>85</v>
      </c>
      <c r="O27" s="12" t="s">
        <v>86</v>
      </c>
      <c r="P27" s="164" t="s">
        <v>87</v>
      </c>
      <c r="Q27" s="116"/>
      <c r="R27" s="116"/>
      <c r="S27" s="116"/>
      <c r="T27" s="116"/>
      <c r="U27" s="116"/>
      <c r="V27" s="116"/>
      <c r="W27" s="118"/>
    </row>
    <row r="28" spans="2:23" ht="25.5" customHeight="1" x14ac:dyDescent="0.45">
      <c r="B28" s="187" t="s">
        <v>88</v>
      </c>
      <c r="C28" s="116"/>
      <c r="D28" s="116"/>
      <c r="E28" s="116"/>
      <c r="F28" s="118"/>
      <c r="G28" s="140" t="s">
        <v>89</v>
      </c>
      <c r="H28" s="116"/>
      <c r="I28" s="116"/>
      <c r="J28" s="118"/>
      <c r="K28" s="184">
        <f>Input_Bulanan!E63</f>
        <v>24</v>
      </c>
      <c r="L28" s="118"/>
      <c r="M28" s="107" t="str">
        <f>IF(Input_Bulanan!H63="Aman","V","")</f>
        <v/>
      </c>
      <c r="N28" s="107" t="str">
        <f>IF(Input_Bulanan!H63="Waspada","V","")</f>
        <v/>
      </c>
      <c r="O28" s="107" t="str">
        <f>IF(Input_Bulanan!H63="Bahaya","V","")</f>
        <v>V</v>
      </c>
      <c r="P28" s="139" t="s">
        <v>90</v>
      </c>
      <c r="Q28" s="116"/>
      <c r="R28" s="116"/>
      <c r="S28" s="116"/>
      <c r="T28" s="116"/>
      <c r="U28" s="116"/>
      <c r="V28" s="116"/>
      <c r="W28" s="118"/>
    </row>
    <row r="29" spans="2:23" ht="25.5" customHeight="1" x14ac:dyDescent="0.45">
      <c r="B29" s="138" t="s">
        <v>91</v>
      </c>
      <c r="C29" s="116"/>
      <c r="D29" s="116"/>
      <c r="E29" s="116"/>
      <c r="F29" s="118"/>
      <c r="G29" s="171" t="s">
        <v>92</v>
      </c>
      <c r="H29" s="116"/>
      <c r="I29" s="116"/>
      <c r="J29" s="118"/>
      <c r="K29" s="146">
        <f>Input_Bulanan!E64</f>
        <v>0.73</v>
      </c>
      <c r="L29" s="118"/>
      <c r="M29" s="107" t="str">
        <f>IF(Input_Bulanan!H64="Aman","V","")</f>
        <v/>
      </c>
      <c r="N29" s="107" t="str">
        <f>IF(Input_Bulanan!H64="Waspada","V","")</f>
        <v>V</v>
      </c>
      <c r="O29" s="107" t="str">
        <f>IF(Input_Bulanan!H64="Bahaya","V","")</f>
        <v/>
      </c>
      <c r="P29" s="169" t="s">
        <v>93</v>
      </c>
      <c r="Q29" s="116"/>
      <c r="R29" s="116"/>
      <c r="S29" s="116"/>
      <c r="T29" s="116"/>
      <c r="U29" s="116"/>
      <c r="V29" s="116"/>
      <c r="W29" s="118"/>
    </row>
    <row r="30" spans="2:23" ht="25.5" customHeight="1" x14ac:dyDescent="0.45">
      <c r="B30" s="187" t="s">
        <v>94</v>
      </c>
      <c r="C30" s="116"/>
      <c r="D30" s="116"/>
      <c r="E30" s="116"/>
      <c r="F30" s="118"/>
      <c r="G30" s="140" t="s">
        <v>95</v>
      </c>
      <c r="H30" s="116"/>
      <c r="I30" s="116"/>
      <c r="J30" s="118"/>
      <c r="K30" s="185">
        <f>Input_Bulanan!E65</f>
        <v>0.94</v>
      </c>
      <c r="L30" s="118"/>
      <c r="M30" s="107" t="str">
        <f>IF(Input_Bulanan!H65="Aman","V","")</f>
        <v/>
      </c>
      <c r="N30" s="107" t="str">
        <f>IF(Input_Bulanan!H65="Waspada","V","")</f>
        <v>V</v>
      </c>
      <c r="O30" s="107" t="str">
        <f>IF(Input_Bulanan!H65="Bahaya","V","")</f>
        <v/>
      </c>
      <c r="P30" s="139" t="s">
        <v>96</v>
      </c>
      <c r="Q30" s="116"/>
      <c r="R30" s="116"/>
      <c r="S30" s="116"/>
      <c r="T30" s="116"/>
      <c r="U30" s="116"/>
      <c r="V30" s="116"/>
      <c r="W30" s="118"/>
    </row>
    <row r="31" spans="2:23" ht="25.5" customHeight="1" x14ac:dyDescent="0.45">
      <c r="B31" s="138" t="s">
        <v>97</v>
      </c>
      <c r="C31" s="116"/>
      <c r="D31" s="116"/>
      <c r="E31" s="116"/>
      <c r="F31" s="118"/>
      <c r="G31" s="171" t="s">
        <v>98</v>
      </c>
      <c r="H31" s="116"/>
      <c r="I31" s="116"/>
      <c r="J31" s="118"/>
      <c r="K31" s="146">
        <f>Input_Bulanan!E66</f>
        <v>0.75</v>
      </c>
      <c r="L31" s="118"/>
      <c r="M31" s="107" t="str">
        <f>IF(Input_Bulanan!H66="Aman","V","")</f>
        <v/>
      </c>
      <c r="N31" s="107" t="str">
        <f>IF(Input_Bulanan!H66="Waspada","V","")</f>
        <v/>
      </c>
      <c r="O31" s="107" t="str">
        <f>IF(Input_Bulanan!H66="Bahaya","V","")</f>
        <v>V</v>
      </c>
      <c r="P31" s="169" t="s">
        <v>99</v>
      </c>
      <c r="Q31" s="116"/>
      <c r="R31" s="116"/>
      <c r="S31" s="116"/>
      <c r="T31" s="116"/>
      <c r="U31" s="116"/>
      <c r="V31" s="116"/>
      <c r="W31" s="118"/>
    </row>
    <row r="32" spans="2:23" ht="25.5" customHeight="1" x14ac:dyDescent="0.45">
      <c r="B32" s="187" t="s">
        <v>100</v>
      </c>
      <c r="C32" s="116"/>
      <c r="D32" s="116"/>
      <c r="E32" s="116"/>
      <c r="F32" s="118"/>
      <c r="G32" s="140" t="s">
        <v>101</v>
      </c>
      <c r="H32" s="116"/>
      <c r="I32" s="116"/>
      <c r="J32" s="118"/>
      <c r="K32" s="190">
        <f>Input_Bulanan!E67</f>
        <v>0.42</v>
      </c>
      <c r="L32" s="118"/>
      <c r="M32" s="107" t="str">
        <f>IF(Input_Bulanan!H67="Aman","V","")</f>
        <v/>
      </c>
      <c r="N32" s="107" t="str">
        <f>IF(Input_Bulanan!H67="Waspada","V","")</f>
        <v/>
      </c>
      <c r="O32" s="107" t="str">
        <f>IF(Input_Bulanan!H67="Bahaya","V","")</f>
        <v>V</v>
      </c>
      <c r="P32" s="139" t="s">
        <v>102</v>
      </c>
      <c r="Q32" s="116"/>
      <c r="R32" s="116"/>
      <c r="S32" s="116"/>
      <c r="T32" s="116"/>
      <c r="U32" s="116"/>
      <c r="V32" s="116"/>
      <c r="W32" s="118"/>
    </row>
    <row r="33" spans="2:23" x14ac:dyDescent="0.45">
      <c r="B33" s="138" t="s">
        <v>103</v>
      </c>
      <c r="C33" s="116"/>
      <c r="D33" s="116"/>
      <c r="E33" s="116"/>
      <c r="F33" s="118"/>
      <c r="G33" s="171" t="s">
        <v>104</v>
      </c>
      <c r="H33" s="116"/>
      <c r="I33" s="116"/>
      <c r="J33" s="118"/>
      <c r="K33" s="146">
        <f>Input_Bulanan!E68</f>
        <v>0.4</v>
      </c>
      <c r="L33" s="118"/>
      <c r="M33" s="107" t="str">
        <f>IF(Input_Bulanan!H68="Aman","V","")</f>
        <v/>
      </c>
      <c r="N33" s="107" t="str">
        <f>IF(Input_Bulanan!H68="Waspada","V","")</f>
        <v/>
      </c>
      <c r="O33" s="107" t="str">
        <f>IF(Input_Bulanan!H68="Bahaya","V","")</f>
        <v>V</v>
      </c>
      <c r="P33" s="169" t="s">
        <v>105</v>
      </c>
      <c r="Q33" s="116"/>
      <c r="R33" s="116"/>
      <c r="S33" s="116"/>
      <c r="T33" s="116"/>
      <c r="U33" s="116"/>
      <c r="V33" s="116"/>
      <c r="W33" s="118"/>
    </row>
    <row r="34" spans="2:23" ht="18" customHeight="1" x14ac:dyDescent="0.45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</row>
    <row r="35" spans="2:23" ht="15" customHeight="1" x14ac:dyDescent="0.45">
      <c r="B35" s="166" t="s">
        <v>106</v>
      </c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8"/>
    </row>
    <row r="36" spans="2:23" ht="33" customHeight="1" x14ac:dyDescent="0.45">
      <c r="B36" s="154" t="str">
        <f>"Prioritas 1—2: [1] " &amp; INDEX(Risk_Action_Tracker!E$6:E$15, MATCH(LARGE(Risk_Action_Tracker!Z$6:Z$15, 1), Risk_Action_Tracker!Z$6:Z$15, 0)) &amp; " · [2] " &amp; INDEX(Risk_Action_Tracker!E$6:E$15, MATCH(LARGE(Risk_Action_Tracker!Z$6:Z$15, 2), Risk_Action_Tracker!Z$6:Z$15, 0))</f>
        <v>Prioritas 1—2: [1] Mengesahkan pembentukan tim Interface Coordinator dan menerapkan Interface Management Plan (IMP) yang mengikat seluruh kontraktor; mengharuskan Rekind menyelaraskan jadwal penyusunan gambar detail dengan kemajuan ISBL EPC-A. · [2] Memberikan dispensasi perpanjangan jaminan pelaksanaan secara terkendali; meminta Parent Company Guarantee dari PT Perusahaan Induk X (Persero) untuk menjamin ketersediaan pendanaan bila Rekind menghadapi kendala likuiditas.</v>
      </c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8"/>
    </row>
    <row r="37" spans="2:23" ht="42.4" customHeight="1" x14ac:dyDescent="0.45">
      <c r="B37" s="154" t="s">
        <v>107</v>
      </c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8"/>
    </row>
  </sheetData>
  <mergeCells count="98">
    <mergeCell ref="M4:W4"/>
    <mergeCell ref="G13:I13"/>
    <mergeCell ref="K33:L33"/>
    <mergeCell ref="B10:F11"/>
    <mergeCell ref="B27:F27"/>
    <mergeCell ref="K8:L9"/>
    <mergeCell ref="G15:I15"/>
    <mergeCell ref="P22:Q22"/>
    <mergeCell ref="G32:J32"/>
    <mergeCell ref="M21:O21"/>
    <mergeCell ref="G5:L5"/>
    <mergeCell ref="B31:F31"/>
    <mergeCell ref="K29:L29"/>
    <mergeCell ref="B6:F9"/>
    <mergeCell ref="M17:O17"/>
    <mergeCell ref="B26:W26"/>
    <mergeCell ref="B36:W36"/>
    <mergeCell ref="S14:W14"/>
    <mergeCell ref="K10:L11"/>
    <mergeCell ref="M24:O24"/>
    <mergeCell ref="S13:W13"/>
    <mergeCell ref="M12:Q12"/>
    <mergeCell ref="B32:F32"/>
    <mergeCell ref="B28:F28"/>
    <mergeCell ref="S15:W15"/>
    <mergeCell ref="P13:Q13"/>
    <mergeCell ref="B30:F30"/>
    <mergeCell ref="J13:L13"/>
    <mergeCell ref="P15:Q15"/>
    <mergeCell ref="P31:W31"/>
    <mergeCell ref="G31:J31"/>
    <mergeCell ref="K32:L32"/>
    <mergeCell ref="B1:W1"/>
    <mergeCell ref="P24:Q24"/>
    <mergeCell ref="K28:L28"/>
    <mergeCell ref="J15:L15"/>
    <mergeCell ref="K30:L30"/>
    <mergeCell ref="M22:O22"/>
    <mergeCell ref="P29:W29"/>
    <mergeCell ref="G29:J29"/>
    <mergeCell ref="E14:F14"/>
    <mergeCell ref="R12:W12"/>
    <mergeCell ref="M5:Q5"/>
    <mergeCell ref="M15:O15"/>
    <mergeCell ref="M20:Q20"/>
    <mergeCell ref="G14:I14"/>
    <mergeCell ref="B5:F5"/>
    <mergeCell ref="B13:D13"/>
    <mergeCell ref="B35:W35"/>
    <mergeCell ref="G6:J7"/>
    <mergeCell ref="B25:W25"/>
    <mergeCell ref="M14:O14"/>
    <mergeCell ref="M23:O23"/>
    <mergeCell ref="K27:L27"/>
    <mergeCell ref="G12:L12"/>
    <mergeCell ref="J14:L14"/>
    <mergeCell ref="E16:F16"/>
    <mergeCell ref="M10:Q11"/>
    <mergeCell ref="P33:W33"/>
    <mergeCell ref="P14:Q14"/>
    <mergeCell ref="G33:J33"/>
    <mergeCell ref="B14:D14"/>
    <mergeCell ref="S16:W16"/>
    <mergeCell ref="B20:L24"/>
    <mergeCell ref="B2:W2"/>
    <mergeCell ref="B34:W34"/>
    <mergeCell ref="B4:L4"/>
    <mergeCell ref="B37:W37"/>
    <mergeCell ref="M6:Q9"/>
    <mergeCell ref="G8:J9"/>
    <mergeCell ref="M13:O13"/>
    <mergeCell ref="M16:O16"/>
    <mergeCell ref="G10:J11"/>
    <mergeCell ref="B12:F12"/>
    <mergeCell ref="P21:Q21"/>
    <mergeCell ref="P27:W27"/>
    <mergeCell ref="B15:D15"/>
    <mergeCell ref="G27:J27"/>
    <mergeCell ref="P23:Q23"/>
    <mergeCell ref="E13:F13"/>
    <mergeCell ref="R5:W5"/>
    <mergeCell ref="P28:W28"/>
    <mergeCell ref="B16:D16"/>
    <mergeCell ref="G28:J28"/>
    <mergeCell ref="P18:Q18"/>
    <mergeCell ref="P17:Q17"/>
    <mergeCell ref="E15:F15"/>
    <mergeCell ref="B19:L19"/>
    <mergeCell ref="G16:L16"/>
    <mergeCell ref="B33:F33"/>
    <mergeCell ref="P30:W30"/>
    <mergeCell ref="G30:J30"/>
    <mergeCell ref="M19:Q19"/>
    <mergeCell ref="K6:L7"/>
    <mergeCell ref="P16:Q16"/>
    <mergeCell ref="P32:W32"/>
    <mergeCell ref="K31:L31"/>
    <mergeCell ref="B29:F29"/>
  </mergeCells>
  <conditionalFormatting sqref="B10:F11">
    <cfRule type="expression" dxfId="11" priority="2">
      <formula>B6&gt;=0.9</formula>
    </cfRule>
    <cfRule type="expression" dxfId="10" priority="3">
      <formula>AND(B6&gt;=0.75,B6&lt;0.9)</formula>
    </cfRule>
    <cfRule type="expression" dxfId="9" priority="4">
      <formula>AND(B6&gt;=0.6,B6&lt;0.75)</formula>
    </cfRule>
    <cfRule type="expression" dxfId="8" priority="5">
      <formula>B6&lt;0.6</formula>
    </cfRule>
  </conditionalFormatting>
  <conditionalFormatting sqref="M27:M32">
    <cfRule type="cellIs" dxfId="7" priority="11" operator="equal">
      <formula>"V"</formula>
    </cfRule>
  </conditionalFormatting>
  <conditionalFormatting sqref="M6:Q9">
    <cfRule type="cellIs" dxfId="6" priority="6" operator="equal">
      <formula>"Low"</formula>
    </cfRule>
    <cfRule type="cellIs" dxfId="5" priority="7" operator="equal">
      <formula>"Low to Moderate"</formula>
    </cfRule>
    <cfRule type="cellIs" dxfId="4" priority="8" operator="equal">
      <formula>"Moderate"</formula>
    </cfRule>
    <cfRule type="cellIs" dxfId="3" priority="9" operator="equal">
      <formula>"Moderate to High"</formula>
    </cfRule>
    <cfRule type="cellIs" dxfId="2" priority="10" operator="equal">
      <formula>"High"</formula>
    </cfRule>
  </conditionalFormatting>
  <conditionalFormatting sqref="N27:N32">
    <cfRule type="cellIs" dxfId="1" priority="12" operator="equal">
      <formula>"V"</formula>
    </cfRule>
  </conditionalFormatting>
  <conditionalFormatting sqref="O27:O33">
    <cfRule type="cellIs" dxfId="0" priority="13" operator="equal">
      <formula>"V"</formula>
    </cfRule>
  </conditionalFormatting>
  <pageMargins left="0.75" right="0.75" top="1" bottom="1" header="0.511811023622047" footer="0.511811023622047"/>
  <pageSetup paperSize="8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F3A"/>
  </sheetPr>
  <dimension ref="A2:F148"/>
  <sheetViews>
    <sheetView showGridLines="0" tabSelected="1" topLeftCell="A30" zoomScale="85" zoomScaleNormal="85" workbookViewId="0">
      <selection activeCell="B42" sqref="B42:B46"/>
    </sheetView>
  </sheetViews>
  <sheetFormatPr defaultColWidth="8.59765625" defaultRowHeight="14.25" x14ac:dyDescent="0.45"/>
  <cols>
    <col min="1" max="1" width="26" customWidth="1"/>
    <col min="2" max="2" width="30" customWidth="1"/>
    <col min="3" max="3" width="40" customWidth="1"/>
    <col min="4" max="4" width="18.53125" customWidth="1"/>
    <col min="5" max="6" width="25" customWidth="1"/>
  </cols>
  <sheetData>
    <row r="2" spans="1:5" ht="19.5" customHeight="1" x14ac:dyDescent="0.5">
      <c r="A2" s="13" t="s">
        <v>108</v>
      </c>
      <c r="B2" s="13"/>
      <c r="C2" s="13"/>
      <c r="D2" s="13"/>
      <c r="E2" s="13"/>
    </row>
    <row r="3" spans="1:5" ht="30" customHeight="1" x14ac:dyDescent="0.45">
      <c r="A3" s="125" t="s">
        <v>384</v>
      </c>
      <c r="B3" s="114"/>
      <c r="C3" s="114"/>
      <c r="D3" s="114"/>
      <c r="E3" s="114"/>
    </row>
    <row r="5" spans="1:5" ht="15.75" customHeight="1" x14ac:dyDescent="0.45">
      <c r="A5" s="120" t="s">
        <v>109</v>
      </c>
      <c r="B5" s="116"/>
      <c r="C5" s="116"/>
      <c r="D5" s="116"/>
      <c r="E5" s="118"/>
    </row>
    <row r="6" spans="1:5" ht="18" customHeight="1" x14ac:dyDescent="0.45">
      <c r="A6" s="14" t="s">
        <v>110</v>
      </c>
      <c r="B6" s="14" t="s">
        <v>111</v>
      </c>
      <c r="C6" s="14" t="s">
        <v>112</v>
      </c>
      <c r="D6" s="14" t="s">
        <v>113</v>
      </c>
      <c r="E6" s="14" t="s">
        <v>114</v>
      </c>
    </row>
    <row r="7" spans="1:5" ht="45.75" customHeight="1" x14ac:dyDescent="0.45">
      <c r="A7" s="15" t="s">
        <v>115</v>
      </c>
      <c r="B7" s="16" t="s">
        <v>116</v>
      </c>
      <c r="C7" s="16" t="s">
        <v>117</v>
      </c>
      <c r="D7" s="17" t="s">
        <v>118</v>
      </c>
      <c r="E7" s="18" t="s">
        <v>119</v>
      </c>
    </row>
    <row r="8" spans="1:5" ht="45.75" customHeight="1" x14ac:dyDescent="0.45">
      <c r="A8" s="19" t="s">
        <v>120</v>
      </c>
      <c r="B8" s="20" t="s">
        <v>121</v>
      </c>
      <c r="C8" s="20" t="s">
        <v>122</v>
      </c>
      <c r="D8" s="110">
        <v>0.2</v>
      </c>
      <c r="E8" s="21" t="s">
        <v>123</v>
      </c>
    </row>
    <row r="9" spans="1:5" ht="45.75" customHeight="1" x14ac:dyDescent="0.45">
      <c r="A9" s="15" t="s">
        <v>53</v>
      </c>
      <c r="B9" s="16" t="s">
        <v>124</v>
      </c>
      <c r="C9" s="16" t="s">
        <v>125</v>
      </c>
      <c r="D9" s="110">
        <v>0.2</v>
      </c>
      <c r="E9" s="18" t="s">
        <v>379</v>
      </c>
    </row>
    <row r="10" spans="1:5" ht="45.75" customHeight="1" x14ac:dyDescent="0.45">
      <c r="A10" s="19" t="s">
        <v>54</v>
      </c>
      <c r="B10" s="20" t="s">
        <v>126</v>
      </c>
      <c r="C10" s="20" t="s">
        <v>127</v>
      </c>
      <c r="D10" s="110">
        <v>0.2</v>
      </c>
      <c r="E10" s="21" t="s">
        <v>380</v>
      </c>
    </row>
    <row r="11" spans="1:5" ht="45.75" customHeight="1" x14ac:dyDescent="0.45">
      <c r="A11" s="15" t="s">
        <v>55</v>
      </c>
      <c r="B11" s="16" t="s">
        <v>128</v>
      </c>
      <c r="C11" s="16" t="s">
        <v>129</v>
      </c>
      <c r="D11" s="110">
        <v>0.2</v>
      </c>
      <c r="E11" s="18" t="s">
        <v>381</v>
      </c>
    </row>
    <row r="12" spans="1:5" x14ac:dyDescent="0.45">
      <c r="D12" s="17"/>
    </row>
    <row r="13" spans="1:5" ht="15" customHeight="1" x14ac:dyDescent="0.45">
      <c r="A13" s="22" t="s">
        <v>49</v>
      </c>
    </row>
    <row r="14" spans="1:5" ht="15" customHeight="1" x14ac:dyDescent="0.45">
      <c r="A14" s="113" t="s">
        <v>130</v>
      </c>
      <c r="B14" s="114"/>
      <c r="C14" s="114"/>
      <c r="D14" s="114"/>
      <c r="E14" s="114"/>
    </row>
    <row r="15" spans="1:5" ht="24" customHeight="1" x14ac:dyDescent="0.45">
      <c r="A15" s="134" t="s">
        <v>131</v>
      </c>
      <c r="B15" s="114"/>
      <c r="C15" s="114"/>
      <c r="D15" s="114"/>
      <c r="E15" s="114"/>
    </row>
    <row r="17" spans="1:5" ht="15.75" customHeight="1" x14ac:dyDescent="0.45">
      <c r="A17" s="120" t="s">
        <v>132</v>
      </c>
      <c r="B17" s="116"/>
      <c r="C17" s="116"/>
      <c r="D17" s="116"/>
      <c r="E17" s="118"/>
    </row>
    <row r="18" spans="1:5" ht="15.75" customHeight="1" x14ac:dyDescent="0.45">
      <c r="A18" s="14" t="s">
        <v>81</v>
      </c>
      <c r="B18" s="14" t="s">
        <v>133</v>
      </c>
      <c r="C18" s="122" t="s">
        <v>134</v>
      </c>
      <c r="D18" s="116"/>
      <c r="E18" s="118"/>
    </row>
    <row r="19" spans="1:5" ht="33.75" customHeight="1" x14ac:dyDescent="0.45">
      <c r="A19" s="15" t="s">
        <v>135</v>
      </c>
      <c r="B19" s="110">
        <v>0.25</v>
      </c>
      <c r="C19" s="123" t="s">
        <v>136</v>
      </c>
      <c r="D19" s="116"/>
      <c r="E19" s="116"/>
    </row>
    <row r="20" spans="1:5" ht="33.75" customHeight="1" x14ac:dyDescent="0.45">
      <c r="A20" s="19" t="s">
        <v>137</v>
      </c>
      <c r="B20" s="111">
        <v>0.2</v>
      </c>
      <c r="C20" s="115" t="s">
        <v>138</v>
      </c>
      <c r="D20" s="116"/>
      <c r="E20" s="116"/>
    </row>
    <row r="21" spans="1:5" ht="33.75" customHeight="1" x14ac:dyDescent="0.45">
      <c r="A21" s="15" t="s">
        <v>139</v>
      </c>
      <c r="B21" s="110">
        <v>0.2</v>
      </c>
      <c r="C21" s="123" t="s">
        <v>140</v>
      </c>
      <c r="D21" s="116"/>
      <c r="E21" s="116"/>
    </row>
    <row r="22" spans="1:5" ht="33.75" customHeight="1" x14ac:dyDescent="0.45">
      <c r="A22" s="19" t="s">
        <v>141</v>
      </c>
      <c r="B22" s="111">
        <v>0.2</v>
      </c>
      <c r="C22" s="115" t="s">
        <v>142</v>
      </c>
      <c r="D22" s="116"/>
      <c r="E22" s="116"/>
    </row>
    <row r="23" spans="1:5" ht="33.75" customHeight="1" x14ac:dyDescent="0.45">
      <c r="A23" s="15" t="s">
        <v>143</v>
      </c>
      <c r="B23" s="110">
        <v>0.15</v>
      </c>
      <c r="C23" s="123" t="s">
        <v>144</v>
      </c>
      <c r="D23" s="116"/>
      <c r="E23" s="116"/>
    </row>
    <row r="25" spans="1:5" ht="15.75" customHeight="1" x14ac:dyDescent="0.45">
      <c r="A25" s="120" t="s">
        <v>145</v>
      </c>
      <c r="B25" s="116"/>
      <c r="C25" s="116"/>
      <c r="D25" s="116"/>
      <c r="E25" s="118"/>
    </row>
    <row r="26" spans="1:5" ht="15.75" customHeight="1" x14ac:dyDescent="0.45">
      <c r="A26" s="14" t="s">
        <v>81</v>
      </c>
      <c r="B26" s="14" t="s">
        <v>133</v>
      </c>
      <c r="C26" s="122" t="s">
        <v>134</v>
      </c>
      <c r="D26" s="116"/>
      <c r="E26" s="118"/>
    </row>
    <row r="27" spans="1:5" ht="33.75" customHeight="1" x14ac:dyDescent="0.45">
      <c r="A27" s="15" t="s">
        <v>146</v>
      </c>
      <c r="B27" s="110">
        <v>0.25</v>
      </c>
      <c r="C27" s="123" t="s">
        <v>147</v>
      </c>
      <c r="D27" s="116"/>
      <c r="E27" s="116"/>
    </row>
    <row r="28" spans="1:5" ht="33.75" customHeight="1" x14ac:dyDescent="0.45">
      <c r="A28" s="19" t="s">
        <v>148</v>
      </c>
      <c r="B28" s="111">
        <v>0.3</v>
      </c>
      <c r="C28" s="115" t="s">
        <v>149</v>
      </c>
      <c r="D28" s="116"/>
      <c r="E28" s="116"/>
    </row>
    <row r="29" spans="1:5" ht="33.75" customHeight="1" x14ac:dyDescent="0.45">
      <c r="A29" s="15" t="s">
        <v>150</v>
      </c>
      <c r="B29" s="110">
        <v>0.35</v>
      </c>
      <c r="C29" s="123" t="s">
        <v>151</v>
      </c>
      <c r="D29" s="116"/>
      <c r="E29" s="116"/>
    </row>
    <row r="30" spans="1:5" ht="33.75" customHeight="1" x14ac:dyDescent="0.45">
      <c r="A30" s="19" t="s">
        <v>152</v>
      </c>
      <c r="B30" s="111">
        <v>0.1</v>
      </c>
      <c r="C30" s="115" t="s">
        <v>153</v>
      </c>
      <c r="D30" s="116"/>
      <c r="E30" s="116"/>
    </row>
    <row r="32" spans="1:5" ht="15.75" customHeight="1" x14ac:dyDescent="0.45">
      <c r="A32" s="120" t="s">
        <v>154</v>
      </c>
      <c r="B32" s="116"/>
      <c r="C32" s="116"/>
      <c r="D32" s="116"/>
      <c r="E32" s="118"/>
    </row>
    <row r="33" spans="1:6" ht="15.75" customHeight="1" x14ac:dyDescent="0.45">
      <c r="A33" s="14" t="s">
        <v>81</v>
      </c>
      <c r="B33" s="14" t="s">
        <v>133</v>
      </c>
      <c r="C33" s="122" t="s">
        <v>134</v>
      </c>
      <c r="D33" s="116"/>
      <c r="E33" s="118"/>
    </row>
    <row r="34" spans="1:6" ht="33.75" customHeight="1" x14ac:dyDescent="0.45">
      <c r="A34" s="19" t="s">
        <v>155</v>
      </c>
      <c r="B34" s="111">
        <v>0.2</v>
      </c>
      <c r="C34" s="115" t="s">
        <v>156</v>
      </c>
      <c r="D34" s="116"/>
      <c r="E34" s="116"/>
    </row>
    <row r="35" spans="1:6" ht="33.75" customHeight="1" x14ac:dyDescent="0.45">
      <c r="A35" s="15" t="s">
        <v>157</v>
      </c>
      <c r="B35" s="110">
        <v>0.2</v>
      </c>
      <c r="C35" s="123" t="s">
        <v>158</v>
      </c>
      <c r="D35" s="116"/>
      <c r="E35" s="116"/>
    </row>
    <row r="36" spans="1:6" ht="33.75" customHeight="1" x14ac:dyDescent="0.45">
      <c r="A36" s="19" t="s">
        <v>159</v>
      </c>
      <c r="B36" s="111">
        <v>0.15</v>
      </c>
      <c r="C36" s="115" t="s">
        <v>160</v>
      </c>
      <c r="D36" s="116"/>
      <c r="E36" s="116"/>
    </row>
    <row r="37" spans="1:6" ht="33.75" customHeight="1" x14ac:dyDescent="0.45">
      <c r="A37" s="15" t="s">
        <v>161</v>
      </c>
      <c r="B37" s="110">
        <v>0.2</v>
      </c>
      <c r="C37" s="123" t="s">
        <v>162</v>
      </c>
      <c r="D37" s="116"/>
      <c r="E37" s="116"/>
    </row>
    <row r="38" spans="1:6" ht="33.75" customHeight="1" x14ac:dyDescent="0.45">
      <c r="A38" s="19" t="s">
        <v>163</v>
      </c>
      <c r="B38" s="111">
        <v>0.25</v>
      </c>
      <c r="C38" s="115" t="s">
        <v>164</v>
      </c>
      <c r="D38" s="116"/>
      <c r="E38" s="116"/>
    </row>
    <row r="40" spans="1:6" ht="15.75" customHeight="1" x14ac:dyDescent="0.45">
      <c r="A40" s="120" t="s">
        <v>165</v>
      </c>
      <c r="B40" s="116"/>
      <c r="C40" s="116"/>
      <c r="D40" s="116"/>
      <c r="E40" s="118"/>
    </row>
    <row r="41" spans="1:6" ht="15.75" customHeight="1" x14ac:dyDescent="0.45">
      <c r="A41" s="9" t="s">
        <v>166</v>
      </c>
      <c r="B41" s="9" t="s">
        <v>167</v>
      </c>
      <c r="C41" s="9" t="s">
        <v>168</v>
      </c>
      <c r="D41" s="9" t="s">
        <v>169</v>
      </c>
      <c r="E41" s="9" t="s">
        <v>170</v>
      </c>
      <c r="F41" s="9" t="s">
        <v>171</v>
      </c>
    </row>
    <row r="42" spans="1:6" ht="15.75" customHeight="1" x14ac:dyDescent="0.45">
      <c r="A42" s="23" t="s">
        <v>115</v>
      </c>
      <c r="B42" s="23" t="s">
        <v>172</v>
      </c>
      <c r="C42" s="24" t="s">
        <v>173</v>
      </c>
      <c r="D42" s="25" t="s">
        <v>174</v>
      </c>
      <c r="E42" s="26" t="s">
        <v>175</v>
      </c>
      <c r="F42" s="27" t="s">
        <v>176</v>
      </c>
    </row>
    <row r="43" spans="1:6" ht="15.75" customHeight="1" x14ac:dyDescent="0.45">
      <c r="A43" s="28" t="s">
        <v>120</v>
      </c>
      <c r="B43" s="28" t="s">
        <v>177</v>
      </c>
      <c r="C43" s="24" t="s">
        <v>95</v>
      </c>
      <c r="D43" s="25" t="s">
        <v>174</v>
      </c>
      <c r="E43" s="26" t="s">
        <v>175</v>
      </c>
      <c r="F43" s="27" t="s">
        <v>178</v>
      </c>
    </row>
    <row r="44" spans="1:6" ht="15.75" customHeight="1" x14ac:dyDescent="0.45">
      <c r="A44" s="23" t="s">
        <v>179</v>
      </c>
      <c r="B44" s="23" t="s">
        <v>180</v>
      </c>
      <c r="C44" s="24" t="s">
        <v>181</v>
      </c>
      <c r="D44" s="25" t="s">
        <v>182</v>
      </c>
      <c r="E44" s="26" t="s">
        <v>183</v>
      </c>
      <c r="F44" s="27" t="s">
        <v>184</v>
      </c>
    </row>
    <row r="45" spans="1:6" ht="15.75" customHeight="1" x14ac:dyDescent="0.45">
      <c r="A45" s="28" t="s">
        <v>185</v>
      </c>
      <c r="B45" s="28" t="s">
        <v>186</v>
      </c>
      <c r="C45" s="24" t="s">
        <v>187</v>
      </c>
      <c r="D45" s="25" t="s">
        <v>188</v>
      </c>
      <c r="E45" s="26" t="s">
        <v>189</v>
      </c>
      <c r="F45" s="27" t="s">
        <v>190</v>
      </c>
    </row>
    <row r="46" spans="1:6" ht="15.75" customHeight="1" x14ac:dyDescent="0.45">
      <c r="A46" s="23" t="s">
        <v>191</v>
      </c>
      <c r="B46" s="23" t="s">
        <v>192</v>
      </c>
      <c r="C46" s="24" t="s">
        <v>193</v>
      </c>
      <c r="D46" s="25" t="s">
        <v>194</v>
      </c>
      <c r="E46" s="26" t="s">
        <v>195</v>
      </c>
      <c r="F46" s="27" t="s">
        <v>196</v>
      </c>
    </row>
    <row r="47" spans="1:6" ht="15.75" customHeight="1" x14ac:dyDescent="0.45">
      <c r="A47" s="28" t="s">
        <v>197</v>
      </c>
      <c r="B47" s="28" t="s">
        <v>198</v>
      </c>
      <c r="C47" s="24" t="s">
        <v>199</v>
      </c>
      <c r="D47" s="25" t="s">
        <v>182</v>
      </c>
      <c r="E47" s="26" t="s">
        <v>200</v>
      </c>
      <c r="F47" s="27" t="s">
        <v>201</v>
      </c>
    </row>
    <row r="49" spans="1:5" ht="15.75" customHeight="1" x14ac:dyDescent="0.45">
      <c r="A49" s="120" t="s">
        <v>202</v>
      </c>
      <c r="B49" s="116"/>
      <c r="C49" s="116"/>
      <c r="D49" s="116"/>
      <c r="E49" s="118"/>
    </row>
    <row r="50" spans="1:5" ht="21.75" customHeight="1" x14ac:dyDescent="0.45">
      <c r="A50" s="129" t="s">
        <v>385</v>
      </c>
      <c r="B50" s="114"/>
      <c r="C50" s="114"/>
      <c r="D50" s="114"/>
      <c r="E50" s="114"/>
    </row>
    <row r="51" spans="1:5" ht="15.75" customHeight="1" x14ac:dyDescent="0.45">
      <c r="A51" s="9" t="s">
        <v>203</v>
      </c>
      <c r="B51" s="9" t="s">
        <v>43</v>
      </c>
      <c r="C51" s="117" t="s">
        <v>204</v>
      </c>
      <c r="D51" s="116"/>
      <c r="E51" s="118"/>
    </row>
    <row r="52" spans="1:5" ht="25.5" customHeight="1" x14ac:dyDescent="0.45">
      <c r="A52" s="29">
        <v>1</v>
      </c>
      <c r="B52" s="30" t="s">
        <v>205</v>
      </c>
      <c r="C52" s="121" t="s">
        <v>206</v>
      </c>
      <c r="D52" s="116"/>
      <c r="E52" s="116"/>
    </row>
    <row r="53" spans="1:5" ht="25.5" customHeight="1" x14ac:dyDescent="0.45">
      <c r="A53" s="31">
        <v>2</v>
      </c>
      <c r="B53" s="32" t="s">
        <v>207</v>
      </c>
      <c r="C53" s="119" t="s">
        <v>208</v>
      </c>
      <c r="D53" s="116"/>
      <c r="E53" s="116"/>
    </row>
    <row r="54" spans="1:5" ht="25.5" customHeight="1" x14ac:dyDescent="0.45">
      <c r="A54" s="33">
        <v>3</v>
      </c>
      <c r="B54" s="30" t="s">
        <v>209</v>
      </c>
      <c r="C54" s="121" t="s">
        <v>210</v>
      </c>
      <c r="D54" s="116"/>
      <c r="E54" s="116"/>
    </row>
    <row r="55" spans="1:5" ht="25.5" customHeight="1" x14ac:dyDescent="0.45">
      <c r="A55" s="34">
        <v>4</v>
      </c>
      <c r="B55" s="32" t="s">
        <v>211</v>
      </c>
      <c r="C55" s="119" t="s">
        <v>212</v>
      </c>
      <c r="D55" s="116"/>
      <c r="E55" s="116"/>
    </row>
    <row r="56" spans="1:5" ht="25.5" customHeight="1" x14ac:dyDescent="0.45">
      <c r="A56" s="35">
        <v>5</v>
      </c>
      <c r="B56" s="30" t="s">
        <v>213</v>
      </c>
      <c r="C56" s="121" t="s">
        <v>214</v>
      </c>
      <c r="D56" s="116"/>
      <c r="E56" s="116"/>
    </row>
    <row r="58" spans="1:5" ht="15.75" customHeight="1" x14ac:dyDescent="0.45">
      <c r="A58" s="120" t="s">
        <v>215</v>
      </c>
      <c r="B58" s="116"/>
      <c r="C58" s="116"/>
      <c r="D58" s="116"/>
      <c r="E58" s="118"/>
    </row>
    <row r="59" spans="1:5" ht="15.75" customHeight="1" x14ac:dyDescent="0.45">
      <c r="A59" s="9" t="s">
        <v>216</v>
      </c>
      <c r="B59" s="9" t="s">
        <v>43</v>
      </c>
      <c r="C59" s="117" t="s">
        <v>217</v>
      </c>
      <c r="D59" s="116"/>
      <c r="E59" s="118"/>
    </row>
    <row r="60" spans="1:5" ht="30" customHeight="1" x14ac:dyDescent="0.45">
      <c r="A60" s="29">
        <v>1</v>
      </c>
      <c r="B60" s="30" t="s">
        <v>218</v>
      </c>
      <c r="C60" s="121" t="s">
        <v>219</v>
      </c>
      <c r="D60" s="116"/>
      <c r="E60" s="116"/>
    </row>
    <row r="61" spans="1:5" ht="30" customHeight="1" x14ac:dyDescent="0.45">
      <c r="A61" s="31">
        <v>2</v>
      </c>
      <c r="B61" s="32" t="s">
        <v>220</v>
      </c>
      <c r="C61" s="119" t="s">
        <v>221</v>
      </c>
      <c r="D61" s="116"/>
      <c r="E61" s="116"/>
    </row>
    <row r="62" spans="1:5" ht="30" customHeight="1" x14ac:dyDescent="0.45">
      <c r="A62" s="33">
        <v>3</v>
      </c>
      <c r="B62" s="30" t="s">
        <v>222</v>
      </c>
      <c r="C62" s="121" t="s">
        <v>223</v>
      </c>
      <c r="D62" s="116"/>
      <c r="E62" s="116"/>
    </row>
    <row r="63" spans="1:5" ht="30" customHeight="1" x14ac:dyDescent="0.45">
      <c r="A63" s="34">
        <v>4</v>
      </c>
      <c r="B63" s="32" t="s">
        <v>224</v>
      </c>
      <c r="C63" s="119" t="s">
        <v>225</v>
      </c>
      <c r="D63" s="116"/>
      <c r="E63" s="116"/>
    </row>
    <row r="64" spans="1:5" ht="30" customHeight="1" x14ac:dyDescent="0.45">
      <c r="A64" s="35">
        <v>5</v>
      </c>
      <c r="B64" s="30" t="s">
        <v>226</v>
      </c>
      <c r="C64" s="121" t="s">
        <v>227</v>
      </c>
      <c r="D64" s="116"/>
      <c r="E64" s="116"/>
    </row>
    <row r="66" spans="1:5" ht="15.75" customHeight="1" x14ac:dyDescent="0.45">
      <c r="A66" s="120" t="s">
        <v>386</v>
      </c>
      <c r="B66" s="116"/>
      <c r="C66" s="116"/>
      <c r="D66" s="116"/>
      <c r="E66" s="118"/>
    </row>
    <row r="67" spans="1:5" ht="19.5" customHeight="1" x14ac:dyDescent="0.45">
      <c r="A67" s="130" t="s">
        <v>228</v>
      </c>
      <c r="B67" s="114"/>
      <c r="C67" s="114"/>
      <c r="D67" s="114"/>
      <c r="E67" s="114"/>
    </row>
    <row r="68" spans="1:5" ht="15.75" customHeight="1" x14ac:dyDescent="0.45">
      <c r="A68" s="9" t="s">
        <v>229</v>
      </c>
      <c r="B68" s="9" t="s">
        <v>230</v>
      </c>
      <c r="C68" s="117" t="s">
        <v>231</v>
      </c>
      <c r="D68" s="116"/>
      <c r="E68" s="118"/>
    </row>
    <row r="69" spans="1:5" ht="15.75" customHeight="1" x14ac:dyDescent="0.45">
      <c r="A69" s="36" t="s">
        <v>72</v>
      </c>
      <c r="B69" s="37" t="s">
        <v>232</v>
      </c>
      <c r="C69" s="124" t="s">
        <v>233</v>
      </c>
      <c r="D69" s="116"/>
      <c r="E69" s="116"/>
    </row>
    <row r="70" spans="1:5" ht="15.75" customHeight="1" x14ac:dyDescent="0.45">
      <c r="A70" s="38" t="s">
        <v>71</v>
      </c>
      <c r="B70" s="37" t="s">
        <v>234</v>
      </c>
      <c r="C70" s="124" t="s">
        <v>235</v>
      </c>
      <c r="D70" s="116"/>
      <c r="E70" s="116"/>
    </row>
    <row r="71" spans="1:5" ht="15.75" customHeight="1" x14ac:dyDescent="0.45">
      <c r="A71" s="39" t="s">
        <v>68</v>
      </c>
      <c r="B71" s="37" t="s">
        <v>236</v>
      </c>
      <c r="C71" s="124" t="s">
        <v>237</v>
      </c>
      <c r="D71" s="116"/>
      <c r="E71" s="116"/>
    </row>
    <row r="72" spans="1:5" ht="15.75" customHeight="1" x14ac:dyDescent="0.45">
      <c r="A72" s="40" t="s">
        <v>65</v>
      </c>
      <c r="B72" s="37" t="s">
        <v>238</v>
      </c>
      <c r="C72" s="124" t="s">
        <v>239</v>
      </c>
      <c r="D72" s="116"/>
      <c r="E72" s="116"/>
    </row>
    <row r="73" spans="1:5" ht="15.75" customHeight="1" x14ac:dyDescent="0.45">
      <c r="A73" s="41" t="s">
        <v>62</v>
      </c>
      <c r="B73" s="37" t="s">
        <v>240</v>
      </c>
      <c r="C73" s="124" t="s">
        <v>241</v>
      </c>
      <c r="D73" s="116"/>
      <c r="E73" s="116"/>
    </row>
    <row r="75" spans="1:5" ht="15.75" customHeight="1" x14ac:dyDescent="0.45">
      <c r="A75" s="120" t="s">
        <v>242</v>
      </c>
      <c r="B75" s="116"/>
      <c r="C75" s="116"/>
      <c r="D75" s="116"/>
      <c r="E75" s="118"/>
    </row>
    <row r="76" spans="1:5" ht="30" customHeight="1" x14ac:dyDescent="0.45">
      <c r="A76" s="19" t="s">
        <v>243</v>
      </c>
      <c r="B76" s="111">
        <v>0.4</v>
      </c>
      <c r="C76" s="121" t="s">
        <v>244</v>
      </c>
      <c r="D76" s="116"/>
      <c r="E76" s="116"/>
    </row>
    <row r="77" spans="1:5" ht="30" customHeight="1" x14ac:dyDescent="0.45">
      <c r="A77" s="15" t="s">
        <v>245</v>
      </c>
      <c r="B77" s="110">
        <v>0.4</v>
      </c>
      <c r="C77" s="119" t="s">
        <v>246</v>
      </c>
      <c r="D77" s="116"/>
      <c r="E77" s="116"/>
    </row>
    <row r="78" spans="1:5" ht="30" customHeight="1" x14ac:dyDescent="0.45">
      <c r="A78" s="19" t="s">
        <v>247</v>
      </c>
      <c r="B78" s="111">
        <v>0.2</v>
      </c>
      <c r="C78" s="121" t="s">
        <v>382</v>
      </c>
      <c r="D78" s="116"/>
      <c r="E78" s="116"/>
    </row>
    <row r="79" spans="1:5" ht="15.75" customHeight="1" x14ac:dyDescent="0.45">
      <c r="A79" s="136" t="s">
        <v>248</v>
      </c>
      <c r="B79" s="114"/>
      <c r="C79" s="114"/>
      <c r="D79" s="114"/>
      <c r="E79" s="114"/>
    </row>
    <row r="81" spans="1:6" ht="15" customHeight="1" x14ac:dyDescent="0.45">
      <c r="A81" s="42" t="s">
        <v>387</v>
      </c>
    </row>
    <row r="82" spans="1:6" ht="15" customHeight="1" x14ac:dyDescent="0.45"/>
    <row r="83" spans="1:6" ht="15" customHeight="1" x14ac:dyDescent="0.45"/>
    <row r="84" spans="1:6" ht="15" customHeight="1" x14ac:dyDescent="0.45"/>
    <row r="86" spans="1:6" ht="14.25" customHeight="1" x14ac:dyDescent="0.45">
      <c r="A86" s="43" t="s">
        <v>249</v>
      </c>
      <c r="B86" s="44"/>
      <c r="C86" s="44"/>
      <c r="D86" s="44"/>
      <c r="E86" s="44"/>
      <c r="F86" s="44"/>
    </row>
    <row r="87" spans="1:6" ht="43.5" customHeight="1" x14ac:dyDescent="0.45">
      <c r="A87" s="131" t="s">
        <v>388</v>
      </c>
      <c r="B87" s="114"/>
      <c r="C87" s="114"/>
      <c r="D87" s="114"/>
      <c r="E87" s="114"/>
      <c r="F87" s="114"/>
    </row>
    <row r="89" spans="1:6" ht="14.25" customHeight="1" x14ac:dyDescent="0.45">
      <c r="A89" s="12" t="s">
        <v>250</v>
      </c>
      <c r="B89" s="12" t="s">
        <v>251</v>
      </c>
      <c r="C89" s="12" t="s">
        <v>252</v>
      </c>
      <c r="D89" s="12" t="s">
        <v>253</v>
      </c>
      <c r="E89" s="12" t="s">
        <v>229</v>
      </c>
      <c r="F89" s="12" t="s">
        <v>254</v>
      </c>
    </row>
    <row r="90" spans="1:6" ht="14.25" customHeight="1" x14ac:dyDescent="0.45">
      <c r="A90" s="45">
        <v>11</v>
      </c>
      <c r="B90" s="45">
        <v>1</v>
      </c>
      <c r="C90" s="45">
        <v>1</v>
      </c>
      <c r="D90" s="45">
        <v>1</v>
      </c>
      <c r="E90" s="46" t="s">
        <v>72</v>
      </c>
      <c r="F90" s="45" t="s">
        <v>255</v>
      </c>
    </row>
    <row r="91" spans="1:6" ht="14.25" customHeight="1" x14ac:dyDescent="0.45">
      <c r="A91" s="45">
        <v>21</v>
      </c>
      <c r="B91" s="45">
        <v>2</v>
      </c>
      <c r="C91" s="45">
        <v>1</v>
      </c>
      <c r="D91" s="45">
        <v>2</v>
      </c>
      <c r="E91" s="46" t="s">
        <v>72</v>
      </c>
      <c r="F91" s="45" t="s">
        <v>255</v>
      </c>
    </row>
    <row r="92" spans="1:6" ht="14.25" customHeight="1" x14ac:dyDescent="0.45">
      <c r="A92" s="45">
        <v>31</v>
      </c>
      <c r="B92" s="45">
        <v>3</v>
      </c>
      <c r="C92" s="45">
        <v>1</v>
      </c>
      <c r="D92" s="45">
        <v>3</v>
      </c>
      <c r="E92" s="46" t="s">
        <v>72</v>
      </c>
      <c r="F92" s="45" t="s">
        <v>255</v>
      </c>
    </row>
    <row r="93" spans="1:6" ht="14.25" customHeight="1" x14ac:dyDescent="0.45">
      <c r="A93" s="45">
        <v>41</v>
      </c>
      <c r="B93" s="45">
        <v>4</v>
      </c>
      <c r="C93" s="45">
        <v>1</v>
      </c>
      <c r="D93" s="45">
        <v>4</v>
      </c>
      <c r="E93" s="46" t="s">
        <v>72</v>
      </c>
      <c r="F93" s="45" t="s">
        <v>255</v>
      </c>
    </row>
    <row r="94" spans="1:6" ht="14.25" customHeight="1" x14ac:dyDescent="0.45">
      <c r="A94" s="45">
        <v>12</v>
      </c>
      <c r="B94" s="45">
        <v>1</v>
      </c>
      <c r="C94" s="45">
        <v>2</v>
      </c>
      <c r="D94" s="45">
        <v>5</v>
      </c>
      <c r="E94" s="46" t="s">
        <v>72</v>
      </c>
      <c r="F94" s="45" t="s">
        <v>255</v>
      </c>
    </row>
    <row r="95" spans="1:6" ht="14.25" customHeight="1" x14ac:dyDescent="0.45">
      <c r="A95" s="45">
        <v>22</v>
      </c>
      <c r="B95" s="45">
        <v>2</v>
      </c>
      <c r="C95" s="45">
        <v>2</v>
      </c>
      <c r="D95" s="45">
        <v>6</v>
      </c>
      <c r="E95" s="47" t="s">
        <v>71</v>
      </c>
      <c r="F95" s="45" t="s">
        <v>256</v>
      </c>
    </row>
    <row r="96" spans="1:6" ht="14.25" customHeight="1" x14ac:dyDescent="0.45">
      <c r="A96" s="45">
        <v>51</v>
      </c>
      <c r="B96" s="45">
        <v>5</v>
      </c>
      <c r="C96" s="45">
        <v>1</v>
      </c>
      <c r="D96" s="45">
        <v>7</v>
      </c>
      <c r="E96" s="47" t="s">
        <v>71</v>
      </c>
      <c r="F96" s="45" t="s">
        <v>256</v>
      </c>
    </row>
    <row r="97" spans="1:6" ht="14.25" customHeight="1" x14ac:dyDescent="0.45">
      <c r="A97" s="45">
        <v>32</v>
      </c>
      <c r="B97" s="45">
        <v>3</v>
      </c>
      <c r="C97" s="45">
        <v>2</v>
      </c>
      <c r="D97" s="45">
        <v>8</v>
      </c>
      <c r="E97" s="47" t="s">
        <v>71</v>
      </c>
      <c r="F97" s="45" t="s">
        <v>256</v>
      </c>
    </row>
    <row r="98" spans="1:6" ht="14.25" customHeight="1" x14ac:dyDescent="0.45">
      <c r="A98" s="45">
        <v>42</v>
      </c>
      <c r="B98" s="45">
        <v>4</v>
      </c>
      <c r="C98" s="45">
        <v>2</v>
      </c>
      <c r="D98" s="45">
        <v>9</v>
      </c>
      <c r="E98" s="47" t="s">
        <v>71</v>
      </c>
      <c r="F98" s="45" t="s">
        <v>256</v>
      </c>
    </row>
    <row r="99" spans="1:6" ht="14.25" customHeight="1" x14ac:dyDescent="0.45">
      <c r="A99" s="45">
        <v>13</v>
      </c>
      <c r="B99" s="45">
        <v>1</v>
      </c>
      <c r="C99" s="45">
        <v>3</v>
      </c>
      <c r="D99" s="45">
        <v>10</v>
      </c>
      <c r="E99" s="47" t="s">
        <v>71</v>
      </c>
      <c r="F99" s="45" t="s">
        <v>256</v>
      </c>
    </row>
    <row r="100" spans="1:6" ht="14.25" customHeight="1" x14ac:dyDescent="0.45">
      <c r="A100" s="45">
        <v>23</v>
      </c>
      <c r="B100" s="45">
        <v>2</v>
      </c>
      <c r="C100" s="45">
        <v>3</v>
      </c>
      <c r="D100" s="45">
        <v>11</v>
      </c>
      <c r="E100" s="47" t="s">
        <v>71</v>
      </c>
      <c r="F100" s="45" t="s">
        <v>256</v>
      </c>
    </row>
    <row r="101" spans="1:6" ht="14.25" customHeight="1" x14ac:dyDescent="0.45">
      <c r="A101" s="45">
        <v>52</v>
      </c>
      <c r="B101" s="45">
        <v>5</v>
      </c>
      <c r="C101" s="45">
        <v>2</v>
      </c>
      <c r="D101" s="45">
        <v>12</v>
      </c>
      <c r="E101" s="48" t="s">
        <v>68</v>
      </c>
      <c r="F101" s="45" t="s">
        <v>257</v>
      </c>
    </row>
    <row r="102" spans="1:6" ht="14.25" customHeight="1" x14ac:dyDescent="0.45">
      <c r="A102" s="45">
        <v>33</v>
      </c>
      <c r="B102" s="45">
        <v>3</v>
      </c>
      <c r="C102" s="45">
        <v>3</v>
      </c>
      <c r="D102" s="45">
        <v>13</v>
      </c>
      <c r="E102" s="48" t="s">
        <v>68</v>
      </c>
      <c r="F102" s="45" t="s">
        <v>257</v>
      </c>
    </row>
    <row r="103" spans="1:6" ht="14.25" customHeight="1" x14ac:dyDescent="0.45">
      <c r="A103" s="45">
        <v>43</v>
      </c>
      <c r="B103" s="45">
        <v>4</v>
      </c>
      <c r="C103" s="45">
        <v>3</v>
      </c>
      <c r="D103" s="45">
        <v>14</v>
      </c>
      <c r="E103" s="48" t="s">
        <v>68</v>
      </c>
      <c r="F103" s="45" t="s">
        <v>257</v>
      </c>
    </row>
    <row r="104" spans="1:6" ht="14.25" customHeight="1" x14ac:dyDescent="0.45">
      <c r="A104" s="45">
        <v>14</v>
      </c>
      <c r="B104" s="45">
        <v>1</v>
      </c>
      <c r="C104" s="45">
        <v>4</v>
      </c>
      <c r="D104" s="45">
        <v>15</v>
      </c>
      <c r="E104" s="48" t="s">
        <v>68</v>
      </c>
      <c r="F104" s="45" t="s">
        <v>257</v>
      </c>
    </row>
    <row r="105" spans="1:6" ht="14.25" customHeight="1" x14ac:dyDescent="0.45">
      <c r="A105" s="45">
        <v>24</v>
      </c>
      <c r="B105" s="45">
        <v>2</v>
      </c>
      <c r="C105" s="45">
        <v>4</v>
      </c>
      <c r="D105" s="45">
        <v>16</v>
      </c>
      <c r="E105" s="49" t="s">
        <v>65</v>
      </c>
      <c r="F105" s="45" t="s">
        <v>258</v>
      </c>
    </row>
    <row r="106" spans="1:6" ht="14.25" customHeight="1" x14ac:dyDescent="0.45">
      <c r="A106" s="45">
        <v>53</v>
      </c>
      <c r="B106" s="45">
        <v>5</v>
      </c>
      <c r="C106" s="45">
        <v>3</v>
      </c>
      <c r="D106" s="45">
        <v>17</v>
      </c>
      <c r="E106" s="49" t="s">
        <v>65</v>
      </c>
      <c r="F106" s="45" t="s">
        <v>258</v>
      </c>
    </row>
    <row r="107" spans="1:6" ht="14.25" customHeight="1" x14ac:dyDescent="0.45">
      <c r="A107" s="45">
        <v>34</v>
      </c>
      <c r="B107" s="45">
        <v>3</v>
      </c>
      <c r="C107" s="45">
        <v>4</v>
      </c>
      <c r="D107" s="45">
        <v>18</v>
      </c>
      <c r="E107" s="49" t="s">
        <v>65</v>
      </c>
      <c r="F107" s="45" t="s">
        <v>258</v>
      </c>
    </row>
    <row r="108" spans="1:6" ht="14.25" customHeight="1" x14ac:dyDescent="0.45">
      <c r="A108" s="45">
        <v>44</v>
      </c>
      <c r="B108" s="45">
        <v>4</v>
      </c>
      <c r="C108" s="45">
        <v>4</v>
      </c>
      <c r="D108" s="45">
        <v>19</v>
      </c>
      <c r="E108" s="49" t="s">
        <v>65</v>
      </c>
      <c r="F108" s="45" t="s">
        <v>258</v>
      </c>
    </row>
    <row r="109" spans="1:6" ht="14.25" customHeight="1" x14ac:dyDescent="0.45">
      <c r="A109" s="45">
        <v>15</v>
      </c>
      <c r="B109" s="45">
        <v>1</v>
      </c>
      <c r="C109" s="45">
        <v>5</v>
      </c>
      <c r="D109" s="45">
        <v>20</v>
      </c>
      <c r="E109" s="50" t="s">
        <v>62</v>
      </c>
      <c r="F109" s="45" t="s">
        <v>259</v>
      </c>
    </row>
    <row r="110" spans="1:6" ht="14.25" customHeight="1" x14ac:dyDescent="0.45">
      <c r="A110" s="45">
        <v>25</v>
      </c>
      <c r="B110" s="45">
        <v>2</v>
      </c>
      <c r="C110" s="45">
        <v>5</v>
      </c>
      <c r="D110" s="45">
        <v>21</v>
      </c>
      <c r="E110" s="50" t="s">
        <v>62</v>
      </c>
      <c r="F110" s="45" t="s">
        <v>259</v>
      </c>
    </row>
    <row r="111" spans="1:6" ht="14.25" customHeight="1" x14ac:dyDescent="0.45">
      <c r="A111" s="45">
        <v>54</v>
      </c>
      <c r="B111" s="45">
        <v>5</v>
      </c>
      <c r="C111" s="45">
        <v>4</v>
      </c>
      <c r="D111" s="45">
        <v>22</v>
      </c>
      <c r="E111" s="50" t="s">
        <v>62</v>
      </c>
      <c r="F111" s="45" t="s">
        <v>259</v>
      </c>
    </row>
    <row r="112" spans="1:6" ht="14.25" customHeight="1" x14ac:dyDescent="0.45">
      <c r="A112" s="45">
        <v>35</v>
      </c>
      <c r="B112" s="45">
        <v>3</v>
      </c>
      <c r="C112" s="45">
        <v>5</v>
      </c>
      <c r="D112" s="45">
        <v>23</v>
      </c>
      <c r="E112" s="50" t="s">
        <v>62</v>
      </c>
      <c r="F112" s="45" t="s">
        <v>259</v>
      </c>
    </row>
    <row r="113" spans="1:6" ht="14.25" customHeight="1" x14ac:dyDescent="0.45">
      <c r="A113" s="45">
        <v>45</v>
      </c>
      <c r="B113" s="45">
        <v>4</v>
      </c>
      <c r="C113" s="45">
        <v>5</v>
      </c>
      <c r="D113" s="45">
        <v>24</v>
      </c>
      <c r="E113" s="50" t="s">
        <v>62</v>
      </c>
      <c r="F113" s="45" t="s">
        <v>259</v>
      </c>
    </row>
    <row r="114" spans="1:6" ht="14.25" customHeight="1" x14ac:dyDescent="0.45">
      <c r="A114" s="45">
        <v>55</v>
      </c>
      <c r="B114" s="45">
        <v>5</v>
      </c>
      <c r="C114" s="45">
        <v>5</v>
      </c>
      <c r="D114" s="45">
        <v>25</v>
      </c>
      <c r="E114" s="50" t="s">
        <v>62</v>
      </c>
      <c r="F114" s="45" t="s">
        <v>259</v>
      </c>
    </row>
    <row r="116" spans="1:6" ht="31.5" customHeight="1" x14ac:dyDescent="0.45">
      <c r="A116" s="131" t="s">
        <v>389</v>
      </c>
      <c r="B116" s="114"/>
      <c r="C116" s="114"/>
      <c r="D116" s="114"/>
      <c r="E116" s="114"/>
      <c r="F116" s="114"/>
    </row>
    <row r="118" spans="1:6" ht="14.25" customHeight="1" x14ac:dyDescent="0.45">
      <c r="A118" s="43" t="s">
        <v>260</v>
      </c>
      <c r="B118" s="44"/>
      <c r="C118" s="44"/>
      <c r="D118" s="44"/>
      <c r="E118" s="44"/>
      <c r="F118" s="44"/>
    </row>
    <row r="119" spans="1:6" ht="33.75" customHeight="1" x14ac:dyDescent="0.45">
      <c r="A119" s="131" t="s">
        <v>261</v>
      </c>
      <c r="B119" s="114"/>
      <c r="C119" s="114"/>
      <c r="D119" s="114"/>
      <c r="E119" s="114"/>
      <c r="F119" s="114"/>
    </row>
    <row r="121" spans="1:6" ht="14.25" customHeight="1" x14ac:dyDescent="0.45">
      <c r="A121" s="51" t="s">
        <v>262</v>
      </c>
      <c r="B121" s="133" t="s">
        <v>263</v>
      </c>
      <c r="C121" s="114"/>
      <c r="D121" s="114"/>
      <c r="E121" s="51" t="s">
        <v>264</v>
      </c>
    </row>
    <row r="122" spans="1:6" ht="14.25" customHeight="1" x14ac:dyDescent="0.45">
      <c r="A122" s="52" t="s">
        <v>84</v>
      </c>
      <c r="B122" s="126" t="s">
        <v>265</v>
      </c>
      <c r="C122" s="127"/>
      <c r="D122" s="128"/>
      <c r="E122" s="53"/>
    </row>
    <row r="123" spans="1:6" ht="14.25" customHeight="1" x14ac:dyDescent="0.45">
      <c r="A123" s="54" t="s">
        <v>85</v>
      </c>
      <c r="B123" s="126" t="s">
        <v>266</v>
      </c>
      <c r="C123" s="127"/>
      <c r="D123" s="128"/>
      <c r="E123" s="53"/>
    </row>
    <row r="124" spans="1:6" ht="14.25" customHeight="1" x14ac:dyDescent="0.45">
      <c r="A124" s="55" t="s">
        <v>86</v>
      </c>
      <c r="B124" s="126" t="s">
        <v>267</v>
      </c>
      <c r="C124" s="127"/>
      <c r="D124" s="128"/>
      <c r="E124" s="53"/>
    </row>
    <row r="127" spans="1:6" ht="15.75" customHeight="1" x14ac:dyDescent="0.45">
      <c r="A127" s="93" t="s">
        <v>268</v>
      </c>
      <c r="B127" s="94"/>
      <c r="C127" s="94"/>
      <c r="D127" s="94"/>
      <c r="E127" s="94"/>
      <c r="F127" s="94"/>
    </row>
    <row r="129" spans="1:6" x14ac:dyDescent="0.45">
      <c r="A129" s="137" t="s">
        <v>269</v>
      </c>
      <c r="B129" s="114"/>
      <c r="C129" s="114"/>
      <c r="D129" s="114"/>
      <c r="E129" s="114"/>
      <c r="F129" s="114"/>
    </row>
    <row r="130" spans="1:6" x14ac:dyDescent="0.45">
      <c r="A130" s="95" t="s">
        <v>270</v>
      </c>
      <c r="B130" s="95" t="s">
        <v>271</v>
      </c>
      <c r="C130" s="95" t="s">
        <v>272</v>
      </c>
      <c r="D130" s="95" t="s">
        <v>273</v>
      </c>
      <c r="E130" s="95" t="s">
        <v>274</v>
      </c>
      <c r="F130" s="95" t="s">
        <v>275</v>
      </c>
    </row>
    <row r="131" spans="1:6" ht="57" customHeight="1" x14ac:dyDescent="0.45">
      <c r="A131" s="96" t="s">
        <v>243</v>
      </c>
      <c r="B131" s="96" t="s">
        <v>276</v>
      </c>
      <c r="C131" s="96" t="s">
        <v>277</v>
      </c>
      <c r="D131" s="96" t="s">
        <v>278</v>
      </c>
      <c r="E131" s="96" t="s">
        <v>279</v>
      </c>
      <c r="F131" s="96" t="s">
        <v>280</v>
      </c>
    </row>
    <row r="132" spans="1:6" ht="57" customHeight="1" x14ac:dyDescent="0.45">
      <c r="A132" s="96" t="s">
        <v>245</v>
      </c>
      <c r="B132" s="96" t="s">
        <v>281</v>
      </c>
      <c r="C132" s="96" t="s">
        <v>282</v>
      </c>
      <c r="D132" s="96" t="s">
        <v>278</v>
      </c>
      <c r="E132" s="96" t="s">
        <v>283</v>
      </c>
      <c r="F132" s="96" t="s">
        <v>284</v>
      </c>
    </row>
    <row r="133" spans="1:6" ht="28.5" customHeight="1" x14ac:dyDescent="0.45">
      <c r="A133" s="96" t="s">
        <v>247</v>
      </c>
      <c r="B133" s="96" t="s">
        <v>383</v>
      </c>
      <c r="C133" s="96" t="s">
        <v>285</v>
      </c>
      <c r="D133" s="96" t="s">
        <v>278</v>
      </c>
      <c r="E133" s="96" t="s">
        <v>286</v>
      </c>
      <c r="F133" s="96" t="s">
        <v>287</v>
      </c>
    </row>
    <row r="136" spans="1:6" x14ac:dyDescent="0.45">
      <c r="A136" s="135" t="s">
        <v>288</v>
      </c>
      <c r="B136" s="114"/>
      <c r="C136" s="114"/>
      <c r="D136" s="114"/>
      <c r="E136" s="114"/>
      <c r="F136" s="114"/>
    </row>
    <row r="139" spans="1:6" x14ac:dyDescent="0.45">
      <c r="A139" s="93" t="s">
        <v>390</v>
      </c>
      <c r="B139" s="94"/>
      <c r="C139" s="94"/>
      <c r="D139" s="94"/>
      <c r="E139" s="94"/>
      <c r="F139" s="94"/>
    </row>
    <row r="141" spans="1:6" x14ac:dyDescent="0.45">
      <c r="A141" s="132" t="s">
        <v>391</v>
      </c>
      <c r="B141" s="114"/>
      <c r="C141" s="114"/>
      <c r="D141" s="114"/>
      <c r="E141" s="114"/>
      <c r="F141" s="114"/>
    </row>
    <row r="143" spans="1:6" x14ac:dyDescent="0.45">
      <c r="A143" s="95" t="s">
        <v>229</v>
      </c>
      <c r="B143" s="95" t="s">
        <v>289</v>
      </c>
      <c r="C143" s="95" t="s">
        <v>290</v>
      </c>
    </row>
    <row r="144" spans="1:6" x14ac:dyDescent="0.45">
      <c r="A144" s="97" t="s">
        <v>62</v>
      </c>
      <c r="B144" s="98" t="s">
        <v>291</v>
      </c>
      <c r="C144" s="98" t="s">
        <v>292</v>
      </c>
    </row>
    <row r="145" spans="1:3" x14ac:dyDescent="0.45">
      <c r="A145" s="99" t="s">
        <v>65</v>
      </c>
      <c r="B145" s="98" t="s">
        <v>293</v>
      </c>
      <c r="C145" s="98" t="s">
        <v>294</v>
      </c>
    </row>
    <row r="146" spans="1:3" x14ac:dyDescent="0.45">
      <c r="A146" s="100" t="s">
        <v>68</v>
      </c>
      <c r="B146" s="98" t="s">
        <v>295</v>
      </c>
      <c r="C146" s="98" t="s">
        <v>296</v>
      </c>
    </row>
    <row r="147" spans="1:3" ht="15.75" customHeight="1" x14ac:dyDescent="0.45">
      <c r="A147" s="101" t="s">
        <v>71</v>
      </c>
      <c r="B147" s="98" t="s">
        <v>297</v>
      </c>
      <c r="C147" s="98" t="s">
        <v>298</v>
      </c>
    </row>
    <row r="148" spans="1:3" x14ac:dyDescent="0.45">
      <c r="A148" s="102" t="s">
        <v>72</v>
      </c>
      <c r="B148" s="98" t="s">
        <v>299</v>
      </c>
      <c r="C148" s="98" t="s">
        <v>300</v>
      </c>
    </row>
  </sheetData>
  <mergeCells count="63">
    <mergeCell ref="A15:E15"/>
    <mergeCell ref="C22:E22"/>
    <mergeCell ref="A49:E49"/>
    <mergeCell ref="A25:E25"/>
    <mergeCell ref="A136:F136"/>
    <mergeCell ref="C56:E56"/>
    <mergeCell ref="C59:E59"/>
    <mergeCell ref="C21:E21"/>
    <mergeCell ref="A79:E79"/>
    <mergeCell ref="C51:E51"/>
    <mergeCell ref="A129:F129"/>
    <mergeCell ref="C60:E60"/>
    <mergeCell ref="C36:E36"/>
    <mergeCell ref="C27:E27"/>
    <mergeCell ref="C76:E76"/>
    <mergeCell ref="C71:E71"/>
    <mergeCell ref="C52:E52"/>
    <mergeCell ref="A116:F116"/>
    <mergeCell ref="C61:E61"/>
    <mergeCell ref="C23:E23"/>
    <mergeCell ref="A141:F141"/>
    <mergeCell ref="C70:E70"/>
    <mergeCell ref="A75:E75"/>
    <mergeCell ref="A66:E66"/>
    <mergeCell ref="B121:D121"/>
    <mergeCell ref="B122:D122"/>
    <mergeCell ref="A119:F119"/>
    <mergeCell ref="A58:E58"/>
    <mergeCell ref="C35:E35"/>
    <mergeCell ref="A87:F87"/>
    <mergeCell ref="C63:E63"/>
    <mergeCell ref="A3:E3"/>
    <mergeCell ref="C38:E38"/>
    <mergeCell ref="B124:D124"/>
    <mergeCell ref="C72:E72"/>
    <mergeCell ref="A50:E50"/>
    <mergeCell ref="C28:E28"/>
    <mergeCell ref="C19:E19"/>
    <mergeCell ref="C37:E37"/>
    <mergeCell ref="C53:E53"/>
    <mergeCell ref="B123:D123"/>
    <mergeCell ref="C69:E69"/>
    <mergeCell ref="C18:E18"/>
    <mergeCell ref="A5:E5"/>
    <mergeCell ref="C78:E78"/>
    <mergeCell ref="A32:E32"/>
    <mergeCell ref="A67:E67"/>
    <mergeCell ref="A14:E14"/>
    <mergeCell ref="C30:E30"/>
    <mergeCell ref="C68:E68"/>
    <mergeCell ref="C77:E77"/>
    <mergeCell ref="A17:E17"/>
    <mergeCell ref="C34:E34"/>
    <mergeCell ref="C62:E62"/>
    <mergeCell ref="C26:E26"/>
    <mergeCell ref="C29:E29"/>
    <mergeCell ref="C20:E20"/>
    <mergeCell ref="C54:E54"/>
    <mergeCell ref="C55:E55"/>
    <mergeCell ref="C33:E33"/>
    <mergeCell ref="A40:E40"/>
    <mergeCell ref="C73:E73"/>
    <mergeCell ref="C64:E64"/>
  </mergeCells>
  <pageMargins left="0.75" right="0.75" top="1" bottom="1" header="0.511811023622047" footer="0.511811023622047"/>
  <pageSetup paperSize="9" orientation="portrait" horizontalDpi="300" verticalDpi="300"/>
  <ignoredErrors>
    <ignoredError sqref="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C230"/>
  </sheetPr>
  <dimension ref="C2:I77"/>
  <sheetViews>
    <sheetView showGridLines="0" zoomScale="99" zoomScaleNormal="100" workbookViewId="0">
      <selection activeCell="D48" sqref="D48:D52"/>
    </sheetView>
  </sheetViews>
  <sheetFormatPr defaultColWidth="8.59765625" defaultRowHeight="14.25" x14ac:dyDescent="0.45"/>
  <cols>
    <col min="1" max="1" width="2" customWidth="1"/>
    <col min="2" max="2" width="3" customWidth="1"/>
    <col min="3" max="3" width="58.796875" customWidth="1"/>
    <col min="4" max="4" width="25.33203125" bestFit="1" customWidth="1"/>
    <col min="5" max="5" width="42" customWidth="1"/>
    <col min="6" max="6" width="20.33203125" bestFit="1" customWidth="1"/>
    <col min="7" max="7" width="38" customWidth="1"/>
    <col min="8" max="8" width="16.73046875" bestFit="1" customWidth="1"/>
    <col min="9" max="9" width="20" customWidth="1"/>
  </cols>
  <sheetData>
    <row r="2" spans="3:7" ht="19.5" customHeight="1" x14ac:dyDescent="0.5">
      <c r="C2" s="13" t="s">
        <v>301</v>
      </c>
    </row>
    <row r="3" spans="3:7" ht="15.75" customHeight="1" x14ac:dyDescent="0.45">
      <c r="C3" s="125" t="s">
        <v>302</v>
      </c>
      <c r="D3" s="114"/>
      <c r="E3" s="114"/>
      <c r="F3" s="114"/>
      <c r="G3" s="114"/>
    </row>
    <row r="4" spans="3:7" x14ac:dyDescent="0.45">
      <c r="C4" s="198" t="s">
        <v>408</v>
      </c>
      <c r="D4" s="199" t="s">
        <v>409</v>
      </c>
      <c r="F4" s="198" t="s">
        <v>410</v>
      </c>
      <c r="G4" s="199" t="s">
        <v>411</v>
      </c>
    </row>
    <row r="5" spans="3:7" ht="15.75" customHeight="1" x14ac:dyDescent="0.45">
      <c r="C5" s="56" t="s">
        <v>303</v>
      </c>
      <c r="D5" s="57" t="s">
        <v>304</v>
      </c>
      <c r="E5" s="56" t="s">
        <v>305</v>
      </c>
      <c r="F5" s="57" t="s">
        <v>306</v>
      </c>
    </row>
    <row r="7" spans="3:7" ht="19.5" customHeight="1" x14ac:dyDescent="0.45">
      <c r="C7" s="193" t="s">
        <v>307</v>
      </c>
      <c r="D7" s="114"/>
      <c r="E7" s="114"/>
      <c r="F7" s="114"/>
      <c r="G7" s="114"/>
    </row>
    <row r="8" spans="3:7" ht="15.75" customHeight="1" x14ac:dyDescent="0.45">
      <c r="C8" s="58" t="s">
        <v>308</v>
      </c>
      <c r="D8" s="59">
        <v>100</v>
      </c>
      <c r="E8" t="s">
        <v>376</v>
      </c>
    </row>
    <row r="9" spans="3:7" ht="15.75" customHeight="1" x14ac:dyDescent="0.45">
      <c r="C9" s="58" t="s">
        <v>309</v>
      </c>
      <c r="D9" s="59">
        <v>100</v>
      </c>
    </row>
    <row r="10" spans="3:7" ht="15.75" customHeight="1" x14ac:dyDescent="0.45">
      <c r="C10" s="58" t="s">
        <v>310</v>
      </c>
      <c r="D10" s="59">
        <v>100</v>
      </c>
    </row>
    <row r="11" spans="3:7" ht="15.75" customHeight="1" x14ac:dyDescent="0.45">
      <c r="C11" s="56" t="s">
        <v>311</v>
      </c>
      <c r="D11" s="60">
        <f>D9/D10</f>
        <v>1</v>
      </c>
    </row>
    <row r="12" spans="3:7" ht="15.75" customHeight="1" x14ac:dyDescent="0.45">
      <c r="C12" s="56" t="s">
        <v>312</v>
      </c>
      <c r="D12" s="61">
        <f>D9-D10</f>
        <v>0</v>
      </c>
    </row>
    <row r="13" spans="3:7" ht="15.75" customHeight="1" x14ac:dyDescent="0.45">
      <c r="C13" s="56" t="s">
        <v>313</v>
      </c>
      <c r="D13" s="60">
        <f>D9/D8</f>
        <v>1</v>
      </c>
    </row>
    <row r="14" spans="3:7" ht="15.75" customHeight="1" x14ac:dyDescent="0.45">
      <c r="C14" s="56" t="s">
        <v>314</v>
      </c>
      <c r="D14" s="61">
        <f>D9-D8</f>
        <v>0</v>
      </c>
    </row>
    <row r="16" spans="3:7" ht="19.5" customHeight="1" x14ac:dyDescent="0.45">
      <c r="C16" s="193" t="s">
        <v>315</v>
      </c>
      <c r="D16" s="114"/>
      <c r="E16" s="114"/>
      <c r="F16" s="114"/>
      <c r="G16" s="114"/>
    </row>
    <row r="17" spans="3:7" ht="15.75" customHeight="1" x14ac:dyDescent="0.45">
      <c r="C17" s="58" t="s">
        <v>316</v>
      </c>
      <c r="D17" s="62">
        <v>0.1</v>
      </c>
    </row>
    <row r="18" spans="3:7" ht="15.75" customHeight="1" x14ac:dyDescent="0.45">
      <c r="C18" s="58" t="s">
        <v>317</v>
      </c>
      <c r="D18" s="62">
        <v>0.05</v>
      </c>
      <c r="E18" t="s">
        <v>373</v>
      </c>
    </row>
    <row r="19" spans="3:7" ht="15.75" customHeight="1" x14ac:dyDescent="0.45">
      <c r="C19" s="58" t="s">
        <v>318</v>
      </c>
      <c r="D19" s="62">
        <v>0.04</v>
      </c>
    </row>
    <row r="20" spans="3:7" ht="15.75" customHeight="1" x14ac:dyDescent="0.45">
      <c r="C20" s="58" t="s">
        <v>319</v>
      </c>
      <c r="D20" s="62">
        <v>0.06</v>
      </c>
    </row>
    <row r="21" spans="3:7" ht="15.75" customHeight="1" x14ac:dyDescent="0.45">
      <c r="C21" s="58" t="s">
        <v>320</v>
      </c>
      <c r="D21" s="62">
        <v>0.08</v>
      </c>
    </row>
    <row r="22" spans="3:7" ht="15.75" customHeight="1" x14ac:dyDescent="0.45">
      <c r="C22" s="56" t="s">
        <v>321</v>
      </c>
      <c r="D22" s="63">
        <f>(D17*0.25+D18*0.2+D19*0.2+D20*0.2+D21*0.15)</f>
        <v>6.7000000000000004E-2</v>
      </c>
    </row>
    <row r="24" spans="3:7" ht="19.5" customHeight="1" x14ac:dyDescent="0.45">
      <c r="C24" s="193" t="s">
        <v>322</v>
      </c>
      <c r="D24" s="114"/>
      <c r="E24" s="114"/>
      <c r="F24" s="114"/>
      <c r="G24" s="114"/>
    </row>
    <row r="25" spans="3:7" ht="15.75" customHeight="1" x14ac:dyDescent="0.45">
      <c r="C25" s="58" t="s">
        <v>323</v>
      </c>
      <c r="D25" s="62">
        <v>0.88</v>
      </c>
      <c r="F25" t="s">
        <v>308</v>
      </c>
    </row>
    <row r="26" spans="3:7" ht="15.75" customHeight="1" x14ac:dyDescent="0.45">
      <c r="C26" s="58" t="s">
        <v>324</v>
      </c>
      <c r="D26" s="62">
        <v>0.73</v>
      </c>
      <c r="F26" t="s">
        <v>309</v>
      </c>
    </row>
    <row r="27" spans="3:7" ht="15.75" customHeight="1" x14ac:dyDescent="0.45">
      <c r="C27" s="58" t="s">
        <v>325</v>
      </c>
      <c r="D27" s="62">
        <v>0.82</v>
      </c>
      <c r="F27" t="s">
        <v>310</v>
      </c>
    </row>
    <row r="28" spans="3:7" ht="15.75" customHeight="1" x14ac:dyDescent="0.45">
      <c r="C28" s="58" t="s">
        <v>326</v>
      </c>
      <c r="D28" s="62">
        <v>0.42</v>
      </c>
      <c r="E28" t="s">
        <v>375</v>
      </c>
      <c r="F28" t="s">
        <v>311</v>
      </c>
    </row>
    <row r="29" spans="3:7" ht="15.75" customHeight="1" x14ac:dyDescent="0.45">
      <c r="C29" s="56" t="s">
        <v>327</v>
      </c>
      <c r="D29" s="63">
        <f>(D25*0.25+D26*0.3+D27*0.35+D28*0.1)</f>
        <v>0.76800000000000002</v>
      </c>
      <c r="F29" t="s">
        <v>312</v>
      </c>
    </row>
    <row r="30" spans="3:7" ht="15.75" customHeight="1" x14ac:dyDescent="0.45">
      <c r="C30" s="58" t="s">
        <v>328</v>
      </c>
      <c r="D30" s="62">
        <v>5.8000000000000003E-2</v>
      </c>
      <c r="F30" t="s">
        <v>313</v>
      </c>
    </row>
    <row r="31" spans="3:7" x14ac:dyDescent="0.45">
      <c r="F31" t="s">
        <v>314</v>
      </c>
    </row>
    <row r="32" spans="3:7" ht="19.5" customHeight="1" x14ac:dyDescent="0.45">
      <c r="C32" s="193" t="s">
        <v>329</v>
      </c>
      <c r="D32" s="114"/>
      <c r="E32" s="114"/>
      <c r="F32" s="114"/>
      <c r="G32" s="114"/>
    </row>
    <row r="33" spans="3:7" ht="15.75" customHeight="1" x14ac:dyDescent="0.45">
      <c r="C33" s="58" t="s">
        <v>330</v>
      </c>
      <c r="D33" s="62">
        <v>0.6</v>
      </c>
    </row>
    <row r="34" spans="3:7" ht="15.75" customHeight="1" x14ac:dyDescent="0.45">
      <c r="C34" s="58" t="s">
        <v>331</v>
      </c>
      <c r="D34" s="62">
        <v>0.6</v>
      </c>
    </row>
    <row r="35" spans="3:7" ht="15.75" customHeight="1" x14ac:dyDescent="0.45">
      <c r="C35" s="58" t="s">
        <v>332</v>
      </c>
      <c r="D35" s="62">
        <v>0.8</v>
      </c>
    </row>
    <row r="36" spans="3:7" ht="15.75" customHeight="1" x14ac:dyDescent="0.45">
      <c r="C36" s="58" t="s">
        <v>333</v>
      </c>
      <c r="D36" s="62">
        <v>0.8</v>
      </c>
    </row>
    <row r="37" spans="3:7" ht="15.75" customHeight="1" x14ac:dyDescent="0.45">
      <c r="C37" s="58" t="s">
        <v>334</v>
      </c>
      <c r="D37" s="62">
        <v>0.4</v>
      </c>
      <c r="E37" t="s">
        <v>374</v>
      </c>
      <c r="F37" t="s">
        <v>377</v>
      </c>
    </row>
    <row r="38" spans="3:7" ht="15.75" customHeight="1" x14ac:dyDescent="0.45">
      <c r="C38" s="56" t="s">
        <v>335</v>
      </c>
      <c r="D38" s="63">
        <f>(D33*0.2+D34*0.2+D35*0.15+D36*0.2+D37*0.25)</f>
        <v>0.62</v>
      </c>
    </row>
    <row r="40" spans="3:7" ht="19.5" customHeight="1" x14ac:dyDescent="0.45">
      <c r="C40" s="193" t="s">
        <v>336</v>
      </c>
      <c r="D40" s="114"/>
      <c r="E40" s="114"/>
      <c r="F40" s="114"/>
      <c r="G40" s="114"/>
    </row>
    <row r="41" spans="3:7" ht="15.75" customHeight="1" x14ac:dyDescent="0.45">
      <c r="C41" s="58" t="s">
        <v>337</v>
      </c>
      <c r="D41" s="108">
        <f>D22*100</f>
        <v>6.7</v>
      </c>
    </row>
    <row r="42" spans="3:7" ht="15.75" customHeight="1" x14ac:dyDescent="0.45">
      <c r="C42" s="58" t="s">
        <v>338</v>
      </c>
      <c r="D42" s="108">
        <f>D29*100</f>
        <v>76.8</v>
      </c>
    </row>
    <row r="43" spans="3:7" ht="15.75" customHeight="1" x14ac:dyDescent="0.45">
      <c r="C43" s="58" t="s">
        <v>339</v>
      </c>
      <c r="D43" s="108">
        <f>D38*100</f>
        <v>62</v>
      </c>
    </row>
    <row r="44" spans="3:7" ht="15.75" customHeight="1" x14ac:dyDescent="0.45">
      <c r="C44" s="56" t="s">
        <v>340</v>
      </c>
      <c r="D44" s="109">
        <f>(D41*0.4)+(D42*0.4)+(D43*0.2)</f>
        <v>45.8</v>
      </c>
    </row>
    <row r="45" spans="3:7" ht="15.75" customHeight="1" x14ac:dyDescent="0.45">
      <c r="C45" s="56" t="s">
        <v>341</v>
      </c>
      <c r="D45" s="65" t="str">
        <f>IF(D44&lt;=20,"Low",IF(D44&lt;=44,"Low to Moderate",IF(D44&lt;=60,"Moderate",IF(D44&lt;=76,"Moderate to High","High"))))</f>
        <v>Moderate</v>
      </c>
    </row>
    <row r="47" spans="3:7" ht="19.5" customHeight="1" x14ac:dyDescent="0.45">
      <c r="C47" s="193" t="s">
        <v>392</v>
      </c>
      <c r="D47" s="114"/>
      <c r="E47" s="114"/>
      <c r="F47" s="114"/>
      <c r="G47" s="114"/>
    </row>
    <row r="48" spans="3:7" ht="15.75" customHeight="1" x14ac:dyDescent="0.45">
      <c r="C48" s="87" t="s">
        <v>62</v>
      </c>
      <c r="D48" s="66">
        <v>5</v>
      </c>
    </row>
    <row r="49" spans="3:8" ht="15.75" customHeight="1" x14ac:dyDescent="0.45">
      <c r="C49" s="88" t="s">
        <v>65</v>
      </c>
      <c r="D49" s="66">
        <v>11</v>
      </c>
    </row>
    <row r="50" spans="3:8" ht="15.75" customHeight="1" x14ac:dyDescent="0.45">
      <c r="C50" s="89" t="s">
        <v>68</v>
      </c>
      <c r="D50" s="66">
        <v>18</v>
      </c>
    </row>
    <row r="51" spans="3:8" ht="15.75" customHeight="1" x14ac:dyDescent="0.45">
      <c r="C51" s="90" t="s">
        <v>71</v>
      </c>
      <c r="D51" s="66">
        <v>4</v>
      </c>
    </row>
    <row r="52" spans="3:8" ht="15.75" customHeight="1" x14ac:dyDescent="0.45">
      <c r="C52" s="86" t="s">
        <v>72</v>
      </c>
      <c r="D52" s="66">
        <v>3</v>
      </c>
    </row>
    <row r="53" spans="3:8" x14ac:dyDescent="0.45">
      <c r="C53" s="91" t="s">
        <v>73</v>
      </c>
      <c r="D53" s="92">
        <f>SUM(D48:D52)</f>
        <v>41</v>
      </c>
    </row>
    <row r="54" spans="3:8" ht="19.5" customHeight="1" x14ac:dyDescent="0.45">
      <c r="C54" s="114"/>
      <c r="D54" s="114"/>
      <c r="E54" s="114"/>
      <c r="F54" s="114"/>
      <c r="G54" s="114"/>
    </row>
    <row r="55" spans="3:8" ht="15.75" customHeight="1" x14ac:dyDescent="0.45">
      <c r="C55" s="193" t="s">
        <v>342</v>
      </c>
      <c r="D55" s="114"/>
      <c r="E55" s="114"/>
      <c r="F55" s="114"/>
      <c r="G55" s="114"/>
    </row>
    <row r="56" spans="3:8" ht="15.75" customHeight="1" x14ac:dyDescent="0.45">
      <c r="C56" s="58" t="s">
        <v>343</v>
      </c>
      <c r="D56" s="62">
        <v>0.82</v>
      </c>
      <c r="E56" s="58" t="s">
        <v>32</v>
      </c>
      <c r="F56" s="66">
        <v>2</v>
      </c>
    </row>
    <row r="57" spans="3:8" ht="15.75" customHeight="1" x14ac:dyDescent="0.45">
      <c r="C57" s="58" t="s">
        <v>344</v>
      </c>
      <c r="D57" s="62">
        <v>0.18</v>
      </c>
      <c r="E57" s="58" t="s">
        <v>34</v>
      </c>
      <c r="F57" s="66">
        <v>3</v>
      </c>
    </row>
    <row r="58" spans="3:8" ht="15.75" customHeight="1" x14ac:dyDescent="0.45">
      <c r="C58" s="58" t="s">
        <v>345</v>
      </c>
      <c r="D58" s="62">
        <v>0.76</v>
      </c>
      <c r="E58" s="58" t="s">
        <v>36</v>
      </c>
      <c r="F58" s="66">
        <v>5</v>
      </c>
    </row>
    <row r="59" spans="3:8" x14ac:dyDescent="0.45">
      <c r="C59" s="58" t="s">
        <v>79</v>
      </c>
      <c r="D59" s="66">
        <v>5</v>
      </c>
      <c r="E59" s="58" t="s">
        <v>38</v>
      </c>
      <c r="F59" s="66">
        <v>4</v>
      </c>
    </row>
    <row r="60" spans="3:8" ht="19.5" customHeight="1" x14ac:dyDescent="0.45">
      <c r="C60" s="114"/>
      <c r="D60" s="114"/>
      <c r="E60" s="114"/>
      <c r="F60" s="114"/>
      <c r="G60" s="114"/>
    </row>
    <row r="61" spans="3:8" ht="15.75" customHeight="1" x14ac:dyDescent="0.45">
      <c r="C61" s="193" t="s">
        <v>346</v>
      </c>
      <c r="D61" s="114"/>
      <c r="E61" s="114"/>
      <c r="F61" s="114"/>
      <c r="G61" s="114"/>
    </row>
    <row r="62" spans="3:8" ht="15.75" customHeight="1" x14ac:dyDescent="0.45">
      <c r="C62" s="14" t="s">
        <v>347</v>
      </c>
      <c r="D62" s="14" t="s">
        <v>348</v>
      </c>
      <c r="E62" s="14" t="s">
        <v>349</v>
      </c>
      <c r="F62" s="67" t="s">
        <v>350</v>
      </c>
      <c r="G62" s="67" t="s">
        <v>351</v>
      </c>
      <c r="H62" s="67" t="s">
        <v>352</v>
      </c>
    </row>
    <row r="63" spans="3:8" ht="15.75" customHeight="1" x14ac:dyDescent="0.45">
      <c r="C63" s="58" t="s">
        <v>88</v>
      </c>
      <c r="D63" s="68" t="s">
        <v>353</v>
      </c>
      <c r="E63" s="66">
        <v>24</v>
      </c>
      <c r="F63" s="69">
        <v>30</v>
      </c>
      <c r="G63" s="69">
        <f t="shared" ref="G63:G68" si="0">F63*0.9</f>
        <v>27</v>
      </c>
      <c r="H63" s="70" t="str">
        <f t="shared" ref="H63:H68" si="1">IF(E63&gt;=F63,"Aman",IF(E63&gt;=G63,"Waspada","Bahaya"))</f>
        <v>Bahaya</v>
      </c>
    </row>
    <row r="64" spans="3:8" ht="15.75" customHeight="1" x14ac:dyDescent="0.45">
      <c r="C64" s="58" t="s">
        <v>91</v>
      </c>
      <c r="D64" s="68" t="s">
        <v>354</v>
      </c>
      <c r="E64" s="62">
        <v>0.73</v>
      </c>
      <c r="F64" s="71">
        <v>0.8</v>
      </c>
      <c r="G64" s="71">
        <f t="shared" si="0"/>
        <v>0.72000000000000008</v>
      </c>
      <c r="H64" s="70" t="str">
        <f t="shared" si="1"/>
        <v>Waspada</v>
      </c>
    </row>
    <row r="65" spans="3:9" ht="15.75" customHeight="1" x14ac:dyDescent="0.45">
      <c r="C65" s="58" t="s">
        <v>94</v>
      </c>
      <c r="D65" s="68" t="s">
        <v>95</v>
      </c>
      <c r="E65" s="64">
        <v>0.94</v>
      </c>
      <c r="F65" s="72">
        <v>1</v>
      </c>
      <c r="G65" s="72">
        <f t="shared" si="0"/>
        <v>0.9</v>
      </c>
      <c r="H65" s="70" t="str">
        <f t="shared" si="1"/>
        <v>Waspada</v>
      </c>
    </row>
    <row r="66" spans="3:9" ht="15.75" customHeight="1" x14ac:dyDescent="0.45">
      <c r="C66" s="58" t="s">
        <v>97</v>
      </c>
      <c r="D66" s="68" t="s">
        <v>98</v>
      </c>
      <c r="E66" s="62">
        <v>0.75</v>
      </c>
      <c r="F66" s="71">
        <v>1</v>
      </c>
      <c r="G66" s="71">
        <f t="shared" si="0"/>
        <v>0.9</v>
      </c>
      <c r="H66" s="70" t="str">
        <f t="shared" si="1"/>
        <v>Bahaya</v>
      </c>
    </row>
    <row r="67" spans="3:9" ht="15.75" customHeight="1" x14ac:dyDescent="0.45">
      <c r="C67" s="58" t="s">
        <v>100</v>
      </c>
      <c r="D67" s="68" t="s">
        <v>355</v>
      </c>
      <c r="E67" s="62">
        <v>0.42</v>
      </c>
      <c r="F67" s="71">
        <v>0.6</v>
      </c>
      <c r="G67" s="71">
        <f t="shared" si="0"/>
        <v>0.54</v>
      </c>
      <c r="H67" s="70" t="str">
        <f t="shared" si="1"/>
        <v>Bahaya</v>
      </c>
    </row>
    <row r="68" spans="3:9" x14ac:dyDescent="0.45">
      <c r="C68" s="58" t="s">
        <v>103</v>
      </c>
      <c r="D68" s="68" t="s">
        <v>356</v>
      </c>
      <c r="E68" s="62">
        <v>0.4</v>
      </c>
      <c r="F68" s="71">
        <v>0.5</v>
      </c>
      <c r="G68" s="71">
        <f t="shared" si="0"/>
        <v>0.45</v>
      </c>
      <c r="H68" s="70" t="str">
        <f t="shared" si="1"/>
        <v>Bahaya</v>
      </c>
    </row>
    <row r="70" spans="3:9" ht="19.5" customHeight="1" x14ac:dyDescent="0.45">
      <c r="C70" s="114"/>
      <c r="D70" s="114"/>
      <c r="E70" s="114"/>
      <c r="F70" s="114"/>
      <c r="G70" s="114"/>
    </row>
    <row r="71" spans="3:9" ht="15.75" customHeight="1" x14ac:dyDescent="0.45">
      <c r="C71" s="193" t="s">
        <v>357</v>
      </c>
      <c r="D71" s="114"/>
      <c r="E71" s="114"/>
      <c r="F71" s="114"/>
      <c r="G71" s="114"/>
    </row>
    <row r="72" spans="3:9" ht="15.75" customHeight="1" x14ac:dyDescent="0.45">
      <c r="C72" s="85" t="s">
        <v>358</v>
      </c>
    </row>
    <row r="73" spans="3:9" ht="27.75" customHeight="1" x14ac:dyDescent="0.45">
      <c r="C73" s="9" t="s">
        <v>41</v>
      </c>
      <c r="D73" s="9" t="s">
        <v>359</v>
      </c>
      <c r="E73" s="9" t="s">
        <v>43</v>
      </c>
      <c r="F73" s="9" t="s">
        <v>251</v>
      </c>
      <c r="G73" s="9" t="s">
        <v>252</v>
      </c>
      <c r="H73" s="9" t="s">
        <v>360</v>
      </c>
      <c r="I73" s="9" t="s">
        <v>361</v>
      </c>
    </row>
    <row r="74" spans="3:9" ht="27.75" customHeight="1" x14ac:dyDescent="0.45">
      <c r="C74" s="73" t="s">
        <v>362</v>
      </c>
      <c r="D74" s="74" t="s">
        <v>363</v>
      </c>
      <c r="E74" s="37" t="s">
        <v>364</v>
      </c>
      <c r="F74" s="66">
        <v>4</v>
      </c>
      <c r="G74" s="66">
        <v>5</v>
      </c>
      <c r="H74" s="10">
        <f>INDEX(Referensi_Threshold!$D$90:$D$114,MATCH(F74*10+G74,Referensi_Threshold!$A$90:$A$114,0))</f>
        <v>24</v>
      </c>
      <c r="I74" s="65" t="str">
        <f>INDEX(Referensi_Threshold!$E$90:$E$114,MATCH(F74*10+G74,Referensi_Threshold!$A$90:$A$114,0))</f>
        <v>High</v>
      </c>
    </row>
    <row r="75" spans="3:9" ht="27.75" customHeight="1" x14ac:dyDescent="0.45">
      <c r="C75" s="73" t="s">
        <v>365</v>
      </c>
      <c r="D75" s="74" t="s">
        <v>366</v>
      </c>
      <c r="E75" s="37" t="s">
        <v>367</v>
      </c>
      <c r="F75" s="66">
        <v>5</v>
      </c>
      <c r="G75" s="66">
        <v>5</v>
      </c>
      <c r="H75" s="10">
        <f>INDEX(Referensi_Threshold!$D$90:$D$114,MATCH(F75*10+G75,Referensi_Threshold!$A$90:$A$114,0))</f>
        <v>25</v>
      </c>
      <c r="I75" s="65" t="str">
        <f>INDEX(Referensi_Threshold!$E$90:$E$114,MATCH(F75*10+G75,Referensi_Threshold!$A$90:$A$114,0))</f>
        <v>High</v>
      </c>
    </row>
    <row r="76" spans="3:9" ht="27.75" customHeight="1" x14ac:dyDescent="0.45">
      <c r="C76" s="73" t="s">
        <v>368</v>
      </c>
      <c r="D76" s="74" t="s">
        <v>369</v>
      </c>
      <c r="E76" s="37" t="s">
        <v>367</v>
      </c>
      <c r="F76" s="66">
        <v>4</v>
      </c>
      <c r="G76" s="66">
        <v>4</v>
      </c>
      <c r="H76" s="10">
        <f>INDEX(Referensi_Threshold!$D$90:$D$114,MATCH(F76*10+G76,Referensi_Threshold!$A$90:$A$114,0))</f>
        <v>19</v>
      </c>
      <c r="I76" s="65" t="str">
        <f>INDEX(Referensi_Threshold!$E$90:$E$114,MATCH(F76*10+G76,Referensi_Threshold!$A$90:$A$114,0))</f>
        <v>Moderate to High</v>
      </c>
    </row>
    <row r="77" spans="3:9" ht="23.25" customHeight="1" x14ac:dyDescent="0.45">
      <c r="C77" s="73" t="s">
        <v>370</v>
      </c>
      <c r="D77" s="74" t="s">
        <v>371</v>
      </c>
      <c r="E77" s="37" t="s">
        <v>372</v>
      </c>
      <c r="F77" s="66">
        <v>3</v>
      </c>
      <c r="G77" s="66">
        <v>3</v>
      </c>
      <c r="H77" s="10">
        <f>INDEX(Referensi_Threshold!$D$90:$D$114,MATCH(F77*10+G77,Referensi_Threshold!$A$90:$A$114,0))</f>
        <v>13</v>
      </c>
      <c r="I77" s="65" t="str">
        <f>INDEX(Referensi_Threshold!$E$90:$E$114,MATCH(F77*10+G77,Referensi_Threshold!$A$90:$A$114,0))</f>
        <v>Moderate</v>
      </c>
    </row>
  </sheetData>
  <mergeCells count="13">
    <mergeCell ref="C3:G3"/>
    <mergeCell ref="C71:G71"/>
    <mergeCell ref="C55:G55"/>
    <mergeCell ref="C61:G61"/>
    <mergeCell ref="C40:G40"/>
    <mergeCell ref="C70:G70"/>
    <mergeCell ref="C7:G7"/>
    <mergeCell ref="C32:G32"/>
    <mergeCell ref="C47:G47"/>
    <mergeCell ref="C54:G54"/>
    <mergeCell ref="C60:G60"/>
    <mergeCell ref="C16:G16"/>
    <mergeCell ref="C24:G2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B2:Z27"/>
  <sheetViews>
    <sheetView showGridLines="0" zoomScale="85" zoomScaleNormal="85" workbookViewId="0">
      <selection activeCell="C6" sqref="C6:C10"/>
    </sheetView>
  </sheetViews>
  <sheetFormatPr defaultColWidth="8.59765625" defaultRowHeight="14.25" x14ac:dyDescent="0.45"/>
  <cols>
    <col min="1" max="1" width="2" customWidth="1"/>
    <col min="2" max="2" width="26.53125" bestFit="1" customWidth="1"/>
    <col min="3" max="3" width="26" customWidth="1"/>
    <col min="4" max="4" width="18" customWidth="1"/>
    <col min="5" max="5" width="38" customWidth="1"/>
    <col min="6" max="6" width="24" customWidth="1"/>
    <col min="7" max="7" width="36" customWidth="1"/>
    <col min="26" max="26" width="17.265625" bestFit="1" customWidth="1"/>
  </cols>
  <sheetData>
    <row r="2" spans="2:26" ht="19.5" customHeight="1" x14ac:dyDescent="0.5">
      <c r="B2" s="194" t="s">
        <v>0</v>
      </c>
      <c r="C2" s="114"/>
      <c r="D2" s="114"/>
      <c r="E2" s="114"/>
      <c r="F2" s="114"/>
      <c r="G2" s="114"/>
    </row>
    <row r="3" spans="2:26" ht="15.75" customHeight="1" x14ac:dyDescent="0.45">
      <c r="B3" s="125" t="s">
        <v>394</v>
      </c>
      <c r="C3" s="114"/>
      <c r="D3" s="114"/>
      <c r="E3" s="114"/>
      <c r="F3" s="114"/>
      <c r="G3" s="114"/>
    </row>
    <row r="5" spans="2:26" ht="30" customHeight="1" x14ac:dyDescent="0.45">
      <c r="B5" s="75" t="s">
        <v>1</v>
      </c>
      <c r="C5" s="75" t="s">
        <v>2</v>
      </c>
      <c r="D5" s="75" t="s">
        <v>3</v>
      </c>
      <c r="E5" s="75" t="s">
        <v>4</v>
      </c>
      <c r="F5" s="75" t="s">
        <v>5</v>
      </c>
      <c r="G5" s="75" t="s">
        <v>6</v>
      </c>
      <c r="Z5" t="s">
        <v>7</v>
      </c>
    </row>
    <row r="6" spans="2:26" ht="73.5" customHeight="1" x14ac:dyDescent="0.45">
      <c r="B6" s="76" t="s">
        <v>8</v>
      </c>
      <c r="C6" s="77" t="s">
        <v>9</v>
      </c>
      <c r="D6" s="78" t="s">
        <v>10</v>
      </c>
      <c r="E6" s="77" t="s">
        <v>11</v>
      </c>
      <c r="F6" s="77" t="s">
        <v>393</v>
      </c>
      <c r="G6" s="77" t="s">
        <v>12</v>
      </c>
      <c r="Z6" s="77">
        <f t="shared" ref="Z6:Z15" si="0">IF(D6="","", IF(ISNUMBER(SEARCH("Moderate to High", D6)), 40, IF(ISNUMBER(SEARCH("High", D6)), 50, IF(ISNUMBER(SEARCH("Low to Moderate", D6)), 20, IF(ISNUMBER(SEARCH("Moderate", D6)), 30, 10)))) + (1/ROW()))</f>
        <v>50.166666666666664</v>
      </c>
    </row>
    <row r="7" spans="2:26" ht="73.5" customHeight="1" x14ac:dyDescent="0.45">
      <c r="B7" s="76" t="s">
        <v>13</v>
      </c>
      <c r="C7" s="77" t="s">
        <v>14</v>
      </c>
      <c r="D7" s="79" t="s">
        <v>15</v>
      </c>
      <c r="E7" s="77" t="s">
        <v>400</v>
      </c>
      <c r="F7" s="77" t="s">
        <v>395</v>
      </c>
      <c r="G7" s="77" t="s">
        <v>16</v>
      </c>
      <c r="Z7" s="77">
        <f t="shared" si="0"/>
        <v>40.142857142857146</v>
      </c>
    </row>
    <row r="8" spans="2:26" ht="73.5" customHeight="1" x14ac:dyDescent="0.45">
      <c r="B8" s="76" t="s">
        <v>17</v>
      </c>
      <c r="C8" s="77" t="s">
        <v>18</v>
      </c>
      <c r="D8" s="79" t="s">
        <v>19</v>
      </c>
      <c r="E8" s="77" t="s">
        <v>20</v>
      </c>
      <c r="F8" s="77" t="s">
        <v>396</v>
      </c>
      <c r="G8" s="77" t="s">
        <v>21</v>
      </c>
      <c r="Z8" s="77">
        <f t="shared" si="0"/>
        <v>40.125</v>
      </c>
    </row>
    <row r="9" spans="2:26" ht="73.5" customHeight="1" x14ac:dyDescent="0.45">
      <c r="B9" s="76" t="s">
        <v>22</v>
      </c>
      <c r="C9" s="77" t="s">
        <v>23</v>
      </c>
      <c r="D9" s="80" t="s">
        <v>24</v>
      </c>
      <c r="E9" s="77" t="s">
        <v>25</v>
      </c>
      <c r="F9" s="77" t="s">
        <v>397</v>
      </c>
      <c r="G9" s="77" t="s">
        <v>26</v>
      </c>
      <c r="Z9" s="77">
        <f t="shared" si="0"/>
        <v>30.111111111111111</v>
      </c>
    </row>
    <row r="10" spans="2:26" ht="73.5" customHeight="1" x14ac:dyDescent="0.45">
      <c r="B10" s="76" t="s">
        <v>27</v>
      </c>
      <c r="C10" s="77" t="s">
        <v>28</v>
      </c>
      <c r="D10" s="80" t="s">
        <v>29</v>
      </c>
      <c r="E10" s="77" t="s">
        <v>401</v>
      </c>
      <c r="F10" s="77" t="s">
        <v>398</v>
      </c>
      <c r="G10" s="77" t="s">
        <v>30</v>
      </c>
      <c r="Z10" s="77">
        <f t="shared" si="0"/>
        <v>30.1</v>
      </c>
    </row>
    <row r="11" spans="2:26" x14ac:dyDescent="0.45">
      <c r="Z11" s="112" t="str">
        <f t="shared" si="0"/>
        <v/>
      </c>
    </row>
    <row r="12" spans="2:26" ht="15" customHeight="1" x14ac:dyDescent="0.45">
      <c r="B12" s="197" t="s">
        <v>399</v>
      </c>
      <c r="C12" s="114"/>
      <c r="D12" s="114"/>
      <c r="E12" s="114"/>
      <c r="F12" s="114"/>
      <c r="G12" s="114"/>
      <c r="Z12" s="112" t="str">
        <f t="shared" si="0"/>
        <v/>
      </c>
    </row>
    <row r="13" spans="2:26" ht="15" customHeight="1" x14ac:dyDescent="0.45">
      <c r="B13" s="114"/>
      <c r="C13" s="114"/>
      <c r="D13" s="114"/>
      <c r="E13" s="114"/>
      <c r="F13" s="114"/>
      <c r="G13" s="114"/>
      <c r="Z13" s="112" t="str">
        <f t="shared" si="0"/>
        <v/>
      </c>
    </row>
    <row r="14" spans="2:26" ht="15" customHeight="1" x14ac:dyDescent="0.45">
      <c r="B14" s="114"/>
      <c r="C14" s="114"/>
      <c r="D14" s="114"/>
      <c r="E14" s="114"/>
      <c r="F14" s="114"/>
      <c r="G14" s="114"/>
      <c r="Z14" s="112" t="str">
        <f t="shared" si="0"/>
        <v/>
      </c>
    </row>
    <row r="15" spans="2:26" x14ac:dyDescent="0.45">
      <c r="Z15" s="112" t="str">
        <f t="shared" si="0"/>
        <v/>
      </c>
    </row>
    <row r="16" spans="2:26" ht="18" customHeight="1" x14ac:dyDescent="0.45">
      <c r="B16" s="196" t="s">
        <v>31</v>
      </c>
      <c r="C16" s="114"/>
      <c r="D16" s="114"/>
      <c r="E16" s="114"/>
      <c r="F16" s="114"/>
      <c r="G16" s="114"/>
    </row>
    <row r="17" spans="2:7" ht="27.75" customHeight="1" x14ac:dyDescent="0.45">
      <c r="B17" s="81" t="s">
        <v>32</v>
      </c>
      <c r="C17" s="82">
        <f>Input_Bulanan!F56</f>
        <v>2</v>
      </c>
      <c r="D17" s="195" t="s">
        <v>33</v>
      </c>
      <c r="E17" s="116"/>
      <c r="F17" s="116"/>
      <c r="G17" s="118"/>
    </row>
    <row r="18" spans="2:7" ht="27.75" customHeight="1" x14ac:dyDescent="0.45">
      <c r="B18" s="81" t="s">
        <v>34</v>
      </c>
      <c r="C18" s="82">
        <f>Input_Bulanan!F57</f>
        <v>3</v>
      </c>
      <c r="D18" s="195" t="s">
        <v>35</v>
      </c>
      <c r="E18" s="116"/>
      <c r="F18" s="116"/>
      <c r="G18" s="118"/>
    </row>
    <row r="19" spans="2:7" ht="27.75" customHeight="1" x14ac:dyDescent="0.45">
      <c r="B19" s="81" t="s">
        <v>36</v>
      </c>
      <c r="C19" s="82">
        <f>Input_Bulanan!F58</f>
        <v>5</v>
      </c>
      <c r="D19" s="195" t="s">
        <v>37</v>
      </c>
      <c r="E19" s="116"/>
      <c r="F19" s="116"/>
      <c r="G19" s="118"/>
    </row>
    <row r="20" spans="2:7" ht="27.75" customHeight="1" x14ac:dyDescent="0.45">
      <c r="B20" s="81" t="s">
        <v>38</v>
      </c>
      <c r="C20" s="82">
        <f>Input_Bulanan!F59</f>
        <v>4</v>
      </c>
      <c r="D20" s="195" t="s">
        <v>39</v>
      </c>
      <c r="E20" s="116"/>
      <c r="F20" s="116"/>
      <c r="G20" s="118"/>
    </row>
    <row r="22" spans="2:7" ht="18" customHeight="1" x14ac:dyDescent="0.45">
      <c r="B22" s="196" t="s">
        <v>40</v>
      </c>
      <c r="C22" s="114"/>
      <c r="D22" s="114"/>
      <c r="E22" s="114"/>
      <c r="F22" s="114"/>
      <c r="G22" s="114"/>
    </row>
    <row r="23" spans="2:7" ht="15" customHeight="1" x14ac:dyDescent="0.45">
      <c r="B23" s="11" t="s">
        <v>41</v>
      </c>
      <c r="C23" s="11" t="s">
        <v>42</v>
      </c>
      <c r="D23" s="11" t="s">
        <v>43</v>
      </c>
      <c r="E23" s="11" t="s">
        <v>44</v>
      </c>
      <c r="F23" s="11" t="s">
        <v>45</v>
      </c>
      <c r="G23" s="11" t="s">
        <v>46</v>
      </c>
    </row>
    <row r="24" spans="2:7" ht="25.5" customHeight="1" x14ac:dyDescent="0.45">
      <c r="B24" s="73" t="str">
        <f>Input_Bulanan!C74</f>
        <v>C1</v>
      </c>
      <c r="C24" s="74" t="str">
        <f>Input_Bulanan!D74</f>
        <v>Salt Supply Disruption (gangguan pasokan garam industri)</v>
      </c>
      <c r="D24" s="37" t="str">
        <f>Input_Bulanan!E74</f>
        <v>Hulu / Supply</v>
      </c>
      <c r="E24" s="83">
        <f>Input_Bulanan!F74</f>
        <v>4</v>
      </c>
      <c r="F24" s="83">
        <f>Input_Bulanan!G74</f>
        <v>5</v>
      </c>
      <c r="G24" s="84" t="str">
        <f>Input_Bulanan!H74 &amp; "  |  " &amp; Input_Bulanan!I74</f>
        <v>24  |  High</v>
      </c>
    </row>
    <row r="25" spans="2:7" ht="25.5" customHeight="1" x14ac:dyDescent="0.45">
      <c r="B25" s="73" t="str">
        <f>Input_Bulanan!C75</f>
        <v>C2</v>
      </c>
      <c r="C25" s="74" t="str">
        <f>Input_Bulanan!D75</f>
        <v>Commissioning Delay (keterlambatan commissioning)</v>
      </c>
      <c r="D25" s="37" t="str">
        <f>Input_Bulanan!E75</f>
        <v>Eksekusi</v>
      </c>
      <c r="E25" s="83">
        <f>Input_Bulanan!F75</f>
        <v>5</v>
      </c>
      <c r="F25" s="83">
        <f>Input_Bulanan!G75</f>
        <v>5</v>
      </c>
      <c r="G25" s="84" t="str">
        <f>Input_Bulanan!H75 &amp; "  |  " &amp; Input_Bulanan!I75</f>
        <v>25  |  High</v>
      </c>
    </row>
    <row r="26" spans="2:7" ht="25.5" customHeight="1" x14ac:dyDescent="0.45">
      <c r="B26" s="73" t="str">
        <f>Input_Bulanan!C76</f>
        <v>C3</v>
      </c>
      <c r="C26" s="74" t="str">
        <f>Input_Bulanan!D76</f>
        <v>EPC Interface Issue (isu EPC interface lintas kontraktor)</v>
      </c>
      <c r="D26" s="37" t="str">
        <f>Input_Bulanan!E76</f>
        <v>Eksekusi</v>
      </c>
      <c r="E26" s="83">
        <f>Input_Bulanan!F76</f>
        <v>4</v>
      </c>
      <c r="F26" s="83">
        <f>Input_Bulanan!G76</f>
        <v>4</v>
      </c>
      <c r="G26" s="84" t="str">
        <f>Input_Bulanan!H76 &amp; "  |  " &amp; Input_Bulanan!I76</f>
        <v>19  |  Moderate to High</v>
      </c>
    </row>
    <row r="27" spans="2:7" ht="25.5" customHeight="1" x14ac:dyDescent="0.45">
      <c r="B27" s="73" t="str">
        <f>Input_Bulanan!C77</f>
        <v>C4</v>
      </c>
      <c r="C27" s="74" t="str">
        <f>Input_Bulanan!D77</f>
        <v>Long Lead Equipment (keterlambatan peralatan utama)</v>
      </c>
      <c r="D27" s="37" t="str">
        <f>Input_Bulanan!E77</f>
        <v>Pengadaan</v>
      </c>
      <c r="E27" s="83">
        <f>Input_Bulanan!F77</f>
        <v>3</v>
      </c>
      <c r="F27" s="83">
        <f>Input_Bulanan!G77</f>
        <v>3</v>
      </c>
      <c r="G27" s="84" t="str">
        <f>Input_Bulanan!H77 &amp; "  |  " &amp; Input_Bulanan!I77</f>
        <v>13  |  Moderate</v>
      </c>
    </row>
  </sheetData>
  <mergeCells count="9">
    <mergeCell ref="B2:G2"/>
    <mergeCell ref="D18:G18"/>
    <mergeCell ref="B16:G16"/>
    <mergeCell ref="D17:G17"/>
    <mergeCell ref="B22:G22"/>
    <mergeCell ref="D20:G20"/>
    <mergeCell ref="D19:G19"/>
    <mergeCell ref="B12:G14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Referensi_Threshold</vt:lpstr>
      <vt:lpstr>Input_Bulanan</vt:lpstr>
      <vt:lpstr>Risk_Action_Tracker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Jezando W</cp:lastModifiedBy>
  <cp:revision>0</cp:revision>
  <dcterms:created xsi:type="dcterms:W3CDTF">2026-07-02T19:04:54Z</dcterms:created>
  <dcterms:modified xsi:type="dcterms:W3CDTF">2026-07-20T02:46:01Z</dcterms:modified>
  <dc:language>en-US</dc:language>
</cp:coreProperties>
</file>