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365mic-my.sharepoint.com/personal/ipanjez_365mic_onmicrosoft_com/Documents/Learn/Coding/Dashboard Proyek Soda Ash/"/>
    </mc:Choice>
  </mc:AlternateContent>
  <xr:revisionPtr revIDLastSave="4" documentId="11_56A443661F3DC4576BF8824BF555A61263B8D0FF" xr6:coauthVersionLast="47" xr6:coauthVersionMax="47" xr10:uidLastSave="{88AD4D39-490E-4EDB-8E45-18CF230B76C4}"/>
  <bookViews>
    <workbookView xWindow="0" yWindow="3848" windowWidth="21600" windowHeight="8655" tabRatio="500" firstSheet="2" activeTab="2" xr2:uid="{00000000-000D-0000-FFFF-FFFF00000000}"/>
  </bookViews>
  <sheets>
    <sheet name="Config" sheetId="1" r:id="rId1"/>
    <sheet name="Panduan" sheetId="2" r:id="rId2"/>
    <sheet name="Dashboard" sheetId="3" r:id="rId3"/>
    <sheet name="Referensi_Threshold" sheetId="4" r:id="rId4"/>
    <sheet name="Input_Bulanan" sheetId="5" r:id="rId5"/>
    <sheet name="Risk_Action_Tracker" sheetId="6" r:id="rId6"/>
  </sheets>
  <definedNames>
    <definedName name="_xlnm.Print_Area" localSheetId="2">Dashboard!$A$1:$W$37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7" i="6" l="1"/>
  <c r="E27" i="6"/>
  <c r="D27" i="6"/>
  <c r="C27" i="6"/>
  <c r="B27" i="6"/>
  <c r="F26" i="6"/>
  <c r="E26" i="6"/>
  <c r="D26" i="6"/>
  <c r="C26" i="6"/>
  <c r="B26" i="6"/>
  <c r="F25" i="6"/>
  <c r="E25" i="6"/>
  <c r="D25" i="6"/>
  <c r="C25" i="6"/>
  <c r="B25" i="6"/>
  <c r="F24" i="6"/>
  <c r="E24" i="6"/>
  <c r="D24" i="6"/>
  <c r="C24" i="6"/>
  <c r="B24" i="6"/>
  <c r="C20" i="6"/>
  <c r="C19" i="6"/>
  <c r="C18" i="6"/>
  <c r="C17" i="6"/>
  <c r="Z15" i="6"/>
  <c r="Z14" i="6"/>
  <c r="Z13" i="6"/>
  <c r="Z12" i="6"/>
  <c r="Z11" i="6"/>
  <c r="Z10" i="6"/>
  <c r="Z9" i="6"/>
  <c r="Z8" i="6"/>
  <c r="Z7" i="6"/>
  <c r="Z6" i="6"/>
  <c r="B36" i="3" s="1"/>
  <c r="I78" i="5"/>
  <c r="H78" i="5"/>
  <c r="I77" i="5"/>
  <c r="H77" i="5"/>
  <c r="I76" i="5"/>
  <c r="H76" i="5"/>
  <c r="I75" i="5"/>
  <c r="H75" i="5"/>
  <c r="H69" i="5"/>
  <c r="H68" i="5"/>
  <c r="H67" i="5"/>
  <c r="D57" i="5"/>
  <c r="P18" i="3" s="1"/>
  <c r="E47" i="5"/>
  <c r="E46" i="5"/>
  <c r="E45" i="5"/>
  <c r="E41" i="5"/>
  <c r="F41" i="5" s="1"/>
  <c r="E40" i="5"/>
  <c r="F40" i="5" s="1"/>
  <c r="E39" i="5"/>
  <c r="E38" i="5"/>
  <c r="F38" i="5" s="1"/>
  <c r="E37" i="5"/>
  <c r="F37" i="5" s="1"/>
  <c r="E36" i="5"/>
  <c r="F36" i="5" s="1"/>
  <c r="E32" i="5"/>
  <c r="E31" i="5"/>
  <c r="F31" i="5" s="1"/>
  <c r="E30" i="5"/>
  <c r="F30" i="5" s="1"/>
  <c r="E29" i="5"/>
  <c r="F29" i="5" s="1"/>
  <c r="E28" i="5"/>
  <c r="F28" i="5" s="1"/>
  <c r="E27" i="5"/>
  <c r="F27" i="5" s="1"/>
  <c r="E23" i="5"/>
  <c r="F23" i="5" s="1"/>
  <c r="E22" i="5"/>
  <c r="E21" i="5"/>
  <c r="F21" i="5" s="1"/>
  <c r="E20" i="5"/>
  <c r="F20" i="5" s="1"/>
  <c r="E19" i="5"/>
  <c r="F19" i="5" s="1"/>
  <c r="E18" i="5"/>
  <c r="F18" i="5" s="1"/>
  <c r="D15" i="5"/>
  <c r="D14" i="5"/>
  <c r="E14" i="3" s="1"/>
  <c r="D13" i="5"/>
  <c r="E15" i="3" s="1"/>
  <c r="D12" i="5"/>
  <c r="E13" i="3" s="1"/>
  <c r="G4" i="5"/>
  <c r="D4" i="5"/>
  <c r="B24" i="1"/>
  <c r="B17" i="1"/>
  <c r="K30" i="3"/>
  <c r="G30" i="3"/>
  <c r="B30" i="3"/>
  <c r="K29" i="3"/>
  <c r="G29" i="3"/>
  <c r="B29" i="3"/>
  <c r="K28" i="3"/>
  <c r="G28" i="3"/>
  <c r="B28" i="3"/>
  <c r="P24" i="3"/>
  <c r="P23" i="3"/>
  <c r="P22" i="3"/>
  <c r="P21" i="3"/>
  <c r="P17" i="3"/>
  <c r="R16" i="3"/>
  <c r="P16" i="3"/>
  <c r="E16" i="3"/>
  <c r="R15" i="3"/>
  <c r="P15" i="3"/>
  <c r="J15" i="3"/>
  <c r="R14" i="3"/>
  <c r="P14" i="3"/>
  <c r="J14" i="3"/>
  <c r="R13" i="3"/>
  <c r="P13" i="3"/>
  <c r="J13" i="3"/>
  <c r="W10" i="3"/>
  <c r="V10" i="3"/>
  <c r="U10" i="3"/>
  <c r="T10" i="3"/>
  <c r="S10" i="3"/>
  <c r="W9" i="3"/>
  <c r="V9" i="3"/>
  <c r="U9" i="3"/>
  <c r="T9" i="3"/>
  <c r="S9" i="3"/>
  <c r="W8" i="3"/>
  <c r="V8" i="3"/>
  <c r="U8" i="3"/>
  <c r="T8" i="3"/>
  <c r="S8" i="3"/>
  <c r="W7" i="3"/>
  <c r="V7" i="3"/>
  <c r="U7" i="3"/>
  <c r="T7" i="3"/>
  <c r="S7" i="3"/>
  <c r="W6" i="3"/>
  <c r="V6" i="3"/>
  <c r="U6" i="3"/>
  <c r="T6" i="3"/>
  <c r="S6" i="3"/>
  <c r="B2" i="3"/>
  <c r="G27" i="6" l="1"/>
  <c r="S16" i="3"/>
  <c r="G26" i="6"/>
  <c r="S15" i="3"/>
  <c r="G25" i="6"/>
  <c r="S14" i="3"/>
  <c r="G24" i="6"/>
  <c r="S13" i="3"/>
  <c r="M30" i="3"/>
  <c r="O30" i="3"/>
  <c r="N30" i="3"/>
  <c r="O29" i="3"/>
  <c r="N29" i="3"/>
  <c r="M29" i="3"/>
  <c r="O28" i="3"/>
  <c r="N28" i="3"/>
  <c r="M28" i="3"/>
  <c r="E42" i="5"/>
  <c r="F39" i="5"/>
  <c r="F42" i="5" s="1"/>
  <c r="D42" i="5" s="1"/>
  <c r="E24" i="5"/>
  <c r="F22" i="5"/>
  <c r="F32" i="5"/>
  <c r="D32" i="5" s="1"/>
  <c r="F24" i="5"/>
  <c r="D24" i="5" s="1"/>
  <c r="K10" i="3" l="1"/>
  <c r="D47" i="5"/>
  <c r="K8" i="3"/>
  <c r="D46" i="5"/>
  <c r="D45" i="5"/>
  <c r="K6" i="3"/>
  <c r="B6" i="3"/>
  <c r="B10" i="3" s="1"/>
  <c r="D48" i="5" l="1"/>
  <c r="M10" i="3" l="1"/>
  <c r="D49" i="5"/>
  <c r="M6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6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Komposit 5 pilar kesehatan (Financial, Schedule, SRI, PEI, CRI) masing-masing berbobot 20%.</t>
        </r>
      </text>
    </comment>
    <comment ref="G6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Kesiapan hulu: kontrak garam, inventori, kualifikasi pemasok, kesiapan pelabuhan &amp; utilitas.</t>
        </r>
      </text>
    </comment>
    <comment ref="M6" authorId="0" shapeId="0" xr:uid="{00000000-0006-0000-0200-000003000000}">
      <text>
        <r>
          <rPr>
            <sz val="11"/>
            <color theme="1"/>
            <rFont val="Calibri"/>
            <family val="2"/>
            <charset val="1"/>
          </rPr>
          <t>5 tingkat sesuai Pedoman Manajemen Risiko PKT: Low / Low to Moderate / Moderate / Moderate to High / High.</t>
        </r>
      </text>
    </comment>
    <comment ref="G8" authorId="0" shapeId="0" xr:uid="{00000000-0006-0000-0200-000004000000}">
      <text>
        <r>
          <rPr>
            <sz val="11"/>
            <color theme="1"/>
            <rFont val="Calibri"/>
            <family val="2"/>
            <charset val="1"/>
          </rPr>
          <t>Progres fisik EPC: engineering, procurement, construction, commissioning preparation.</t>
        </r>
      </text>
    </comment>
    <comment ref="G10" authorId="0" shapeId="0" xr:uid="{00000000-0006-0000-0200-000005000000}">
      <text>
        <r>
          <rPr>
            <sz val="11"/>
            <color theme="1"/>
            <rFont val="Calibri"/>
            <family val="2"/>
            <charset val="1"/>
          </rPr>
          <t>Kesiapan komersial: offtake, strategi pemasaran, distribusi, tim operasi, kualifikasi produk.</t>
        </r>
      </text>
    </comment>
    <comment ref="B13" authorId="0" shapeId="0" xr:uid="{00000000-0006-0000-0200-000006000000}">
      <text>
        <r>
          <rPr>
            <sz val="11"/>
            <color theme="1"/>
            <rFont val="Calibri"/>
            <family val="2"/>
            <charset val="1"/>
          </rPr>
          <t>CPI = EV/AC. Mengukur efisiensi biaya: &gt;=1,00 berarti proyek di bawah/sesuai anggaran.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family val="2"/>
            <charset val="1"/>
          </rPr>
          <t>SPI = EV/PV. Mengukur kepatuhan jadwal terhadap master schedule baseline.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family val="2"/>
            <charset val="1"/>
          </rPr>
          <t>CV = EV-AC. Nilai negatif berarti pembengkakan biaya (cost overrun).</t>
        </r>
      </text>
    </comment>
    <comment ref="B16" authorId="0" shapeId="0" xr:uid="{00000000-0006-0000-0200-000009000000}">
      <text>
        <r>
          <rPr>
            <sz val="11"/>
            <color theme="1"/>
            <rFont val="Calibri"/>
            <family val="2"/>
            <charset val="1"/>
          </rPr>
          <t>SV = EV-PV. Nilai negatif berarti keterlambatan progres terhadap rencana.</t>
        </r>
      </text>
    </comment>
    <comment ref="M21" authorId="0" shapeId="0" xr:uid="{00000000-0006-0000-0200-00000A000000}">
      <text>
        <r>
          <rPr>
            <sz val="11"/>
            <color theme="1"/>
            <rFont val="Calibri"/>
            <family val="2"/>
            <charset val="1"/>
          </rPr>
          <t>Persentase rencana mitigasi yang telah selesai dilaksanakan dari total rencana aksi.</t>
        </r>
      </text>
    </comment>
    <comment ref="M22" authorId="0" shapeId="0" xr:uid="{00000000-0006-0000-0200-00000B000000}">
      <text>
        <r>
          <rPr>
            <sz val="11"/>
            <color theme="1"/>
            <rFont val="Calibri"/>
            <family val="2"/>
            <charset val="1"/>
          </rPr>
          <t>Persentase mitigasi yang berjalan sesuai linimasa rencana.</t>
        </r>
      </text>
    </comment>
    <comment ref="M23" authorId="0" shapeId="0" xr:uid="{00000000-0006-0000-0200-00000C000000}">
      <text>
        <r>
          <rPr>
            <sz val="11"/>
            <color theme="1"/>
            <rFont val="Calibri"/>
            <family val="2"/>
            <charset val="1"/>
          </rPr>
          <t>Persentase aksi mitigasi yang telah melewati batas waktu penyelesaian.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8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Rencana nilai pekerjaan yang seharusnya diselesaikan pada periode pelaporan berjalan sesuai kurva rencana (S-Curve Baseline).</t>
        </r>
      </text>
    </comment>
    <comment ref="C9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Nilai anggaran dari pekerjaan yang telah diselesaikan secara fisik di lapangan.</t>
        </r>
      </text>
    </comment>
    <comment ref="C10" authorId="0" shapeId="0" xr:uid="{00000000-0006-0000-0400-000003000000}">
      <text>
        <r>
          <rPr>
            <sz val="11"/>
            <color theme="1"/>
            <rFont val="Calibri"/>
            <family val="2"/>
            <charset val="1"/>
          </rPr>
          <t>Total pengeluaran biaya aktual yang telah dibayarkan dan tercatat dalam pembukuan keuangan proyek.</t>
        </r>
      </text>
    </comment>
    <comment ref="C18" authorId="0" shapeId="0" xr:uid="{00000000-0006-0000-0400-000004000000}">
      <text>
        <r>
          <rPr>
            <sz val="11"/>
            <color theme="1"/>
            <rFont val="Calibri"/>
            <family val="2"/>
            <charset val="1"/>
          </rPr>
          <t>Kepastian kontrak pasokan garam industri jangka panjang dengan PT Garam / pemasok luar negeri.</t>
        </r>
      </text>
    </comment>
    <comment ref="C19" authorId="0" shapeId="0" xr:uid="{00000000-0006-0000-0400-000005000000}">
      <text>
        <r>
          <rPr>
            <sz val="11"/>
            <color theme="1"/>
            <rFont val="Calibri"/>
            <family val="2"/>
            <charset val="1"/>
          </rPr>
          <t>Kesiapan &amp; kapasitas gudang penyimpanan garam di pelabuhan dan lokasi pabrik.</t>
        </r>
      </text>
    </comment>
    <comment ref="C20" authorId="0" shapeId="0" xr:uid="{00000000-0006-0000-0400-000006000000}">
      <text>
        <r>
          <rPr>
            <sz val="11"/>
            <color theme="1"/>
            <rFont val="Calibri"/>
            <family val="2"/>
            <charset val="1"/>
          </rPr>
          <t>Pemenuhan kualifikasi teknis &amp; standar kualitas garam dari calon pemasok.
Sub Contract, terkait den</t>
        </r>
      </text>
    </comment>
    <comment ref="C21" authorId="0" shapeId="0" xr:uid="{00000000-0006-0000-0400-000007000000}">
      <text>
        <r>
          <rPr>
            <sz val="11"/>
            <color theme="1"/>
            <rFont val="Calibri"/>
            <family val="2"/>
            <charset val="1"/>
          </rPr>
          <t>Kesiapan fasilitas pelabuhan, armada kapal logistik, jalur bongkar muat garam.</t>
        </r>
      </text>
    </comment>
    <comment ref="C22" authorId="0" shapeId="0" xr:uid="{00000000-0006-0000-0400-000008000000}">
      <text>
        <r>
          <rPr>
            <sz val="11"/>
            <color theme="1"/>
            <rFont val="Calibri"/>
            <family val="2"/>
            <charset val="1"/>
          </rPr>
          <t>Kesiapan tie-in gas bumi (SKK Migas), air proses, uap panas, daya listrik.</t>
        </r>
      </text>
    </comment>
    <comment ref="C27" authorId="0" shapeId="0" xr:uid="{00000000-0006-0000-0400-000009000000}">
      <text>
        <r>
          <rPr>
            <sz val="11"/>
            <color theme="1"/>
            <rFont val="Calibri"/>
            <family val="2"/>
            <charset val="1"/>
          </rPr>
          <t>Penyelesaian gambar kerja detail (DED), spesifikasi teknis, persetujuan vendor drawings.</t>
        </r>
      </text>
    </comment>
    <comment ref="C28" authorId="0" shapeId="0" xr:uid="{00000000-0006-0000-0400-00000A000000}">
      <text>
        <r>
          <rPr>
            <sz val="11"/>
            <color theme="1"/>
            <rFont val="Calibri"/>
            <family val="2"/>
            <charset val="1"/>
          </rPr>
          <t>Kemajuan pengadaan barang, khususnya long lead items (menara karbonasi, kiln, reaktor).</t>
        </r>
      </text>
    </comment>
    <comment ref="C29" authorId="0" shapeId="0" xr:uid="{00000000-0006-0000-0400-00000B000000}">
      <text>
        <r>
          <rPr>
            <sz val="11"/>
            <color theme="1"/>
            <rFont val="Calibri"/>
            <family val="2"/>
            <charset val="1"/>
          </rPr>
          <t>Kemajuan fisik konstruksi sipil, pondasi, struktur baja, mekanikal, kelistrikan, pemipaan.</t>
        </r>
      </text>
    </comment>
    <comment ref="C30" authorId="0" shapeId="0" xr:uid="{00000000-0006-0000-0400-00000C000000}">
      <text>
        <r>
          <rPr>
            <sz val="11"/>
            <color theme="1"/>
            <rFont val="Calibri"/>
            <family val="2"/>
            <charset val="1"/>
          </rPr>
          <t>Dokumen prosedur pengujian, tim start-up, Loop Test instrumen, suku cadang awal.</t>
        </r>
      </text>
    </comment>
    <comment ref="C36" authorId="0" shapeId="0" xr:uid="{00000000-0006-0000-0400-00000D000000}">
      <text>
        <r>
          <rPr>
            <sz val="11"/>
            <color theme="1"/>
            <rFont val="Calibri"/>
            <family val="2"/>
            <charset val="1"/>
          </rPr>
          <t>Volume produk terikat MOU/Offtake Agreement dengan pembeli domestik.</t>
        </r>
      </text>
    </comment>
    <comment ref="C37" authorId="0" shapeId="0" xr:uid="{00000000-0006-0000-0400-00000E000000}">
      <text>
        <r>
          <rPr>
            <sz val="11"/>
            <color theme="1"/>
            <rFont val="Calibri"/>
            <family val="2"/>
            <charset val="1"/>
          </rPr>
          <t>Kesiapan strategi harga kompetitif terhadap produk impor &amp; diversifikasi varian.</t>
        </r>
      </text>
    </comment>
    <comment ref="C38" authorId="0" shapeId="0" xr:uid="{00000000-0006-0000-0400-00000F000000}">
      <text>
        <r>
          <rPr>
            <sz val="11"/>
            <color theme="1"/>
            <rFont val="Calibri"/>
            <family val="2"/>
            <charset val="1"/>
          </rPr>
          <t>Logistik pengiriman: bagging unit, armada darat, konveyor pelabuhan.</t>
        </r>
      </text>
    </comment>
    <comment ref="C39" authorId="0" shapeId="0" xr:uid="{00000000-0006-0000-0400-000010000000}">
      <text>
        <r>
          <rPr>
            <sz val="11"/>
            <color theme="1"/>
            <rFont val="Calibri"/>
            <family val="2"/>
            <charset val="1"/>
          </rPr>
          <t>Sertifikasi operator, SOP pengoperasian, pelatihan simulasi darurat.</t>
        </r>
      </text>
    </comment>
    <comment ref="C40" authorId="0" shapeId="0" xr:uid="{00000000-0006-0000-0400-000011000000}">
      <text>
        <r>
          <rPr>
            <sz val="11"/>
            <color theme="1"/>
            <rFont val="Calibri"/>
            <family val="2"/>
            <charset val="1"/>
          </rPr>
          <t>Kesiapan laboratorium mutu &amp; sertifikasi SNI untuk industri premium.</t>
        </r>
      </text>
    </comment>
  </commentList>
</comments>
</file>

<file path=xl/sharedStrings.xml><?xml version="1.0" encoding="utf-8"?>
<sst xmlns="http://schemas.openxmlformats.org/spreadsheetml/2006/main" count="627" uniqueCount="489">
  <si>
    <t>PROJECT RISK &amp; HEALTH DASHBOARD  -  Proyek X PROJECT  Perusahaan X (Perusahaan X)</t>
  </si>
  <si>
    <t>PANEL A - PROJECT HEALTH OVERVIEW (Retrospective Performance)</t>
  </si>
  <si>
    <t>PANEL B - CURRENT RISK EXPOSURE (Prospective Threats)</t>
  </si>
  <si>
    <t>Overall Project Health Score (PHS)</t>
  </si>
  <si>
    <t>Sub-Index Readiness &amp; Performance</t>
  </si>
  <si>
    <t>Overall Risk Level (Composite)</t>
  </si>
  <si>
    <t>Risk Profile Heat Map (Likelihood x Consequence)</t>
  </si>
  <si>
    <t>Supply Readiness Index (SRI)</t>
  </si>
  <si>
    <t>L=5</t>
  </si>
  <si>
    <t>L=4</t>
  </si>
  <si>
    <t>Project Execution Index (PEI)</t>
  </si>
  <si>
    <t>L=3</t>
  </si>
  <si>
    <t>L=2</t>
  </si>
  <si>
    <t>Commercial Readiness Index (CRI)</t>
  </si>
  <si>
    <t>L=1</t>
  </si>
  <si>
    <t>C -&gt;</t>
  </si>
  <si>
    <t>Key Financial &amp; Schedule</t>
  </si>
  <si>
    <t>Master Schedule S-Curve (USD Juta)</t>
  </si>
  <si>
    <t>Risk Register - Risiko Aktif</t>
  </si>
  <si>
    <t>Legenda Top Risk (C1-C4)</t>
  </si>
  <si>
    <t>Cost Performance Index (CPI)</t>
  </si>
  <si>
    <t>Planned Value (PV)</t>
  </si>
  <si>
    <t>High</t>
  </si>
  <si>
    <t>Schedule Performance Index (SPI)</t>
  </si>
  <si>
    <t>Earned Value (EV)</t>
  </si>
  <si>
    <t>Moderate to High</t>
  </si>
  <si>
    <t>Cost Variance (CV), USD Juta</t>
  </si>
  <si>
    <t>Actual Cost (AC)</t>
  </si>
  <si>
    <t>Moderate</t>
  </si>
  <si>
    <t>Schedule Variance (SV), USD Juta</t>
  </si>
  <si>
    <t>(Bar proporsional: lihat conditional formatting / grafik pada versi HTML)</t>
  </si>
  <si>
    <t>Low to Moderate</t>
  </si>
  <si>
    <t>Low</t>
  </si>
  <si>
    <t>Total Risiko Aktif</t>
  </si>
  <si>
    <t>Catatan Metodologi</t>
  </si>
  <si>
    <t>Mitigation Health Progress</t>
  </si>
  <si>
    <t>Completed Mitigations</t>
  </si>
  <si>
    <t>On Track Mitigations</t>
  </si>
  <si>
    <t>Overdue Actions</t>
  </si>
  <si>
    <t>Need Escalation (jumlah aksi)</t>
  </si>
  <si>
    <t>PANEL C - EARLY WARNING SYSTEM (EWS) ALERTS</t>
  </si>
  <si>
    <t>Parameter</t>
  </si>
  <si>
    <t>Threshold</t>
  </si>
  <si>
    <t>Aktual</t>
  </si>
  <si>
    <t>Aman</t>
  </si>
  <si>
    <t>Waspada</t>
  </si>
  <si>
    <t>Bahaya</t>
  </si>
  <si>
    <t>Implikasi Operasional &amp; Finansial</t>
  </si>
  <si>
    <t>Keterlambatan pengiriman pertama berpotensi memicu klaim dari Offtaker utama.</t>
  </si>
  <si>
    <t>Keterlambatan progres berpotensi menunda tahap commissioning.</t>
  </si>
  <si>
    <t>Belum tercapainya kuota offtake minimal mengancam kelayakan finansial operasi.</t>
  </si>
  <si>
    <t>PANEL D - EXECUTIVE ACTIONS &amp; DECISION REQUIRED</t>
  </si>
  <si>
    <t>Rincian lengkap: lihat sheet 'Risk_Action_Tracker' - Executive Action Tracker Direksi/PSC.</t>
  </si>
  <si>
    <t>KONFIGURASI GLOBAL — PROJECT RISK &amp; HEALTH DASHBOARD</t>
  </si>
  <si>
    <t>Sheet ini adalah pusat pengaturan. Ubah nilai di kolom B untuk menyesuaikan seluruh dashboard (Excel &amp; HTML).</t>
  </si>
  <si>
    <t>A. IDENTITAS PROYEK</t>
  </si>
  <si>
    <t>Nilai</t>
  </si>
  <si>
    <t>Keterangan</t>
  </si>
  <si>
    <t>Nama Perusahaan</t>
  </si>
  <si>
    <t>Test</t>
  </si>
  <si>
    <t>Nama lengkap perusahaan pemilik proyek</t>
  </si>
  <si>
    <t>Nama Proyek</t>
  </si>
  <si>
    <t>Satu</t>
  </si>
  <si>
    <t>Nama proyek yang dilaporkan</t>
  </si>
  <si>
    <t>Kapasitas Produksi</t>
  </si>
  <si>
    <t>300.000 MTPY</t>
  </si>
  <si>
    <t>Kapasitas desain pabrik</t>
  </si>
  <si>
    <t>B. BOBOT 5 PILAR PROJECT HEALTH SCORE (PHS)</t>
  </si>
  <si>
    <t>Pilar Kesehatan</t>
  </si>
  <si>
    <t>Bobot</t>
  </si>
  <si>
    <t>Financial Health</t>
  </si>
  <si>
    <t>Berdasarkan CPI</t>
  </si>
  <si>
    <t>Schedule Health</t>
  </si>
  <si>
    <t>Berdasarkan SPI</t>
  </si>
  <si>
    <t>Supply Readiness (SRI)</t>
  </si>
  <si>
    <t>Indeks kesiapan pasokan bahan baku</t>
  </si>
  <si>
    <t>Project Execution (PEI)</t>
  </si>
  <si>
    <t>Indeks pelaksanaan proyek fisik</t>
  </si>
  <si>
    <t>Commercial Readiness (CRI)</t>
  </si>
  <si>
    <t>Indeks kesiapan komersial</t>
  </si>
  <si>
    <t>TOTAL BOBOT</t>
  </si>
  <si>
    <t>Harus = 1.00</t>
  </si>
  <si>
    <t>C. BOBOT OVERALL RISK INDEX</t>
  </si>
  <si>
    <t>Komponen Risiko</t>
  </si>
  <si>
    <t>Supply Risk Index</t>
  </si>
  <si>
    <t>Bahan baku, logistik</t>
  </si>
  <si>
    <t>Execution Risk Index</t>
  </si>
  <si>
    <t>Engineering, procurement, construction</t>
  </si>
  <si>
    <t>Commercial Risk Index</t>
  </si>
  <si>
    <t>Offtake, marketing, distribusi</t>
  </si>
  <si>
    <t>D. PENGATURAN TAMPILAN DASHBOARD</t>
  </si>
  <si>
    <t>Jumlah Executive Actions</t>
  </si>
  <si>
    <t>Berapa prioritas action yang ditampilkan di slide</t>
  </si>
  <si>
    <t>EWS Buffer Toleransi (%)</t>
  </si>
  <si>
    <t>Persentase buffer batas Waspada</t>
  </si>
  <si>
    <t>E. KUSTOMISASI WARNA (HEX CODE)</t>
  </si>
  <si>
    <t>Elemen</t>
  </si>
  <si>
    <t>Hex Code</t>
  </si>
  <si>
    <t>Preview</t>
  </si>
  <si>
    <t>Warna Hijau (Aman)</t>
  </si>
  <si>
    <t>#2E9B57</t>
  </si>
  <si>
    <t>Warna Kuning (Pantau)</t>
  </si>
  <si>
    <t>#E8B93A</t>
  </si>
  <si>
    <t>Warna Oranye (Waspada)</t>
  </si>
  <si>
    <t>#E4622E</t>
  </si>
  <si>
    <t>Warna Merah (Kritis)</t>
  </si>
  <si>
    <t>#C0392B</t>
  </si>
  <si>
    <t>Warna Navy (Aksen)</t>
  </si>
  <si>
    <t>#0B1F3A</t>
  </si>
  <si>
    <t>PANDUAN PENGGUNAAN — PROJECT RISK &amp; HEALTH DASHBOARD v3</t>
  </si>
  <si>
    <t>Versi 3.0 | Dibuat untuk memudahkan pelaporan risiko dan kesehatan proyek secara berkala.</t>
  </si>
  <si>
    <t>1. PENDAHULUAN</t>
  </si>
  <si>
    <t>Dashboard ini dirancang untuk memantau kesehatan proyek melalui 5 pilar utama:</t>
  </si>
  <si>
    <t xml:space="preserve">  a. Financial Health (CPI &amp; SPI) — efisiensi biaya dan jadwal</t>
  </si>
  <si>
    <t xml:space="preserve">  b. Supply Readiness Index (SRI) — kesiapan pasokan bahan baku</t>
  </si>
  <si>
    <t xml:space="preserve">  c. Project Execution Index (PEI) — pelaksanaan proyek fisik</t>
  </si>
  <si>
    <t xml:space="preserve">  d. Commercial Readiness Index (CRI) — kesiapan komersial</t>
  </si>
  <si>
    <t xml:space="preserve">  e. Risk Index — profil risiko keseluruhan (benchmark Pertamina)</t>
  </si>
  <si>
    <t>2. STRUKTUR FILE EXCEL</t>
  </si>
  <si>
    <t>Sheet</t>
  </si>
  <si>
    <t>Fungsi</t>
  </si>
  <si>
    <t>Siapa Mengisi</t>
  </si>
  <si>
    <t>Config</t>
  </si>
  <si>
    <t>Pengaturan global: nama proyek, bobot pilar, warna</t>
  </si>
  <si>
    <t>PM / PMO (sekali)</t>
  </si>
  <si>
    <t>Panduan</t>
  </si>
  <si>
    <t>Manual penggunaan (sheet ini)</t>
  </si>
  <si>
    <t>Hanya dibaca</t>
  </si>
  <si>
    <t>Referensi_Threshold</t>
  </si>
  <si>
    <t>Referensi formula, threshold, skala risiko</t>
  </si>
  <si>
    <t>Risk Manager (sekali)</t>
  </si>
  <si>
    <t>Input_Bulanan</t>
  </si>
  <si>
    <t>Input data utama setiap bulan</t>
  </si>
  <si>
    <t>Project Control (bulanan)</t>
  </si>
  <si>
    <t>Risk_Action_Tracker</t>
  </si>
  <si>
    <t>Tracker aksi mitigasi &amp; keputusan Direksi</t>
  </si>
  <si>
    <t>Dashboard</t>
  </si>
  <si>
    <t>Ringkasan visual otomatis</t>
  </si>
  <si>
    <t>Otomatis</t>
  </si>
  <si>
    <t>3. PANDUAN WARNA SEL</t>
  </si>
  <si>
    <t>KUNING (font biru)</t>
  </si>
  <si>
    <t>Isi data Anda di sini</t>
  </si>
  <si>
    <t>ABU-ABU</t>
  </si>
  <si>
    <t>Jangan diubah manual</t>
  </si>
  <si>
    <t>4. MENAMBAH BARIS BARU (EWS / TOP RISK / ACTIONS)</t>
  </si>
  <si>
    <t>Untuk menambah parameter EWS atau Top Risk baru:</t>
  </si>
  <si>
    <t xml:space="preserve">  a. Klik kanan pada baris TERAKHIR data di bagian tersebut</t>
  </si>
  <si>
    <t xml:space="preserve">  b. Pilih 'Insert' -&gt; 'Entire Row' untuk menyisipkan baris baru</t>
  </si>
  <si>
    <t xml:space="preserve">  c. Salin formula dari baris di atas (khusus kolom formula/abu-abu)</t>
  </si>
  <si>
    <t xml:space="preserve">  d. Isi data baru di kolom input (kuning)</t>
  </si>
  <si>
    <t xml:space="preserve">  e. HTML importer akan otomatis mendeteksi baris baru saat import</t>
  </si>
  <si>
    <t>5. MENGUBAH BOBOT</t>
  </si>
  <si>
    <t xml:space="preserve">  a. Buka sheet 'Referensi_Threshold' untuk bobot SRI/PEI/CRI</t>
  </si>
  <si>
    <t xml:space="preserve">  b. Ubah nilai bobot di kolom B</t>
  </si>
  <si>
    <t xml:space="preserve">  c. Sheet 'Input_Bulanan' kolom E otomatis menyesuaikan</t>
  </si>
  <si>
    <t>5. CARA MENGATUR PRIORITAS EXECUTIVE ACTIONS</t>
  </si>
  <si>
    <t xml:space="preserve">  a. Buka sheet 'Risk_Action_Tracker'</t>
  </si>
  <si>
    <t xml:space="preserve">  b. Isi kolom 'Prioritas Dashboard' (Kolom H) dengan angka 1, 2, 3... sesuai urutan yang ingin ditampilkan di slide utama.</t>
  </si>
  <si>
    <t xml:space="preserve">  c. Hanya aksi dengan angka prioritas 1 s.d. N (sesuai setting B28 di Config) yang akan dimuat ke slide utama.</t>
  </si>
  <si>
    <t xml:space="preserve">  d. Untuk menyembunyikan aksi dari slide utama, dikosongkan atau diisi angka 0.</t>
  </si>
  <si>
    <t xml:space="preserve">  a. Buka file html</t>
  </si>
  <si>
    <t xml:space="preserve">  b. Klik tombol 'Muat Data Excel' di toolbar atas</t>
  </si>
  <si>
    <t xml:space="preserve">  c. Pilih file Excel yang sudah diisi</t>
  </si>
  <si>
    <t xml:space="preserve">  d. Dashboard akan otomatis memperbarui semua panel</t>
  </si>
  <si>
    <t xml:space="preserve">  e. Gunakan tombol PNG/JPG/PDF untuk mengekspor slide</t>
  </si>
  <si>
    <t xml:space="preserve">  f. Gunakan tombol Dark Mode untuk mode malam</t>
  </si>
  <si>
    <t>REFERENSI FORMULA &amp; AMBANG BATAS (THRESHOLD) — PROJECT RISK &amp; HEALTH DASHBOARD</t>
  </si>
  <si>
    <t>Proyek X Project Perusahaan X | Sumber: Standarisasi Eksekutif Project Risk &amp; Health Dashboard (Studi Kelayakan Deloitte; Risk Register Proyek X 2025) &amp; Benchmark PT Pertamina (Persero) - Direktorat Manajemen Risiko / Permen BUMN No.02/2023</t>
  </si>
  <si>
    <t>1. LIMA PILAR KESEHATAN PROYEK (PROJECT HEALTH) &amp; FORMULA</t>
  </si>
  <si>
    <t>Pilar</t>
  </si>
  <si>
    <t>Indikator Utama</t>
  </si>
  <si>
    <t>Formula</t>
  </si>
  <si>
    <t>Bobot dalam PHS</t>
  </si>
  <si>
    <t>Sumber / Referensi</t>
  </si>
  <si>
    <t>Cost Performance Index (CPI)
Cost Variance (CV)</t>
  </si>
  <si>
    <t>CPI = EV / AC
CV = EV - AC</t>
  </si>
  <si>
    <t>20%</t>
  </si>
  <si>
    <t>Earned Value Management (EVM) - PMI Standard; ScheduleReader.com, 'Managing Project Health with SPI &amp; CPI'</t>
  </si>
  <si>
    <t>Schedule Performance Index (SPI)
Schedule Variance (SV)</t>
  </si>
  <si>
    <t>SPI = EV / PV
SV = EV - PV</t>
  </si>
  <si>
    <t>Earned Value Management (EVM) - PMI Standard; ScheduleReader.com</t>
  </si>
  <si>
    <t>5 parameter tertimbang pasokan (supply chain)</t>
  </si>
  <si>
    <t>SRI = S (Wi x Si)</t>
  </si>
  <si>
    <t>Risk Register Proyek X - Pengelompokan Tahapan Pekerjaan Proyek (2025)</t>
  </si>
  <si>
    <t>4 parameter tertimbang pelaksanaan EPC</t>
  </si>
  <si>
    <t>PEI = S (Pj x Wj)</t>
  </si>
  <si>
    <t>Risk Register Proyek X 2025; praktik EPC Progress-S-Curve industri</t>
  </si>
  <si>
    <t>5 parameter tertimbang kesiapan komersial</t>
  </si>
  <si>
    <t>CRI = S (Wk x Sk)</t>
  </si>
  <si>
    <t>Risk Register Proyek X 2025</t>
  </si>
  <si>
    <t>PHS = (FinancialScore x 0,20) + (ScheduleScore x 0,20) + (SRI x 0,20) + (PEI x 0,20) + (CRI x 0,20)</t>
  </si>
  <si>
    <t>Catatan: FinancialScore &amp; ScheduleScore dikonversi dari CPI/SPI. Jika indeks &gt;= 1,00, skor = 100 (maksimal). Jika &lt; 1,00, skor = indeks x 100.</t>
  </si>
  <si>
    <t>2. PARAMETER &amp; BOBOT SUPPLY READINESS INDEX (SRI)</t>
  </si>
  <si>
    <t>Deskripsi</t>
  </si>
  <si>
    <t>Salt Contract</t>
  </si>
  <si>
    <t>Kepastian kontrak pasokan bahan baku garam industri jangka panjang dengan PT Garam maupun pemasok luar negeri.</t>
  </si>
  <si>
    <t>Salt Inventory</t>
  </si>
  <si>
    <t>Kesiapan &amp; kapasitas operasional gudang penyimpanan garam di pelabuhan dan lokasi pabrik.</t>
  </si>
  <si>
    <t>Supplier Qualification</t>
  </si>
  <si>
    <t>Tingkat pemenuhan kualifikasi teknis dan standar kualitas garam dari para calon pemasok.</t>
  </si>
  <si>
    <t>Shipping Readiness</t>
  </si>
  <si>
    <t>Kesiapan fasilitas pelabuhan, ketersediaan armada kapal logistik, dan jalur bongkar muat garam.</t>
  </si>
  <si>
    <t>Utility Readiness</t>
  </si>
  <si>
    <t>Jaminan kesiapan tie-in pasokan gas bumi dari SKK Migas, air proses, uap panas, dan ketersediaan daya listrik.</t>
  </si>
  <si>
    <t>3. PARAMETER &amp; BOBOT PROJECT EXECUTION INDEX (PEI)</t>
  </si>
  <si>
    <t>Engineering Progress</t>
  </si>
  <si>
    <t>Persentase penyelesaian gambar kerja detail (DED), dokumen spesifikasi teknis, dan persetujuan vendor drawings.</t>
  </si>
  <si>
    <t>Procurement Progress</t>
  </si>
  <si>
    <t>Kemajuan pengadaan barang, khususnya long lead items (menara karbonasi, kiln dekomposisi, reaktor utama).</t>
  </si>
  <si>
    <t>Construction Progress</t>
  </si>
  <si>
    <t>Kemajuan fisik konstruksi sipil, pondasi alat berat, struktur baja, instalasi mekanikal, kelistrikan, pemipaan.</t>
  </si>
  <si>
    <t>Commissioning Preparation</t>
  </si>
  <si>
    <t>Penyelesaian dokumen prosedur pengujian, tim start-up, Loop Test instrumen, dan suku cadang awal operasional.</t>
  </si>
  <si>
    <t>4. PARAMETER &amp; BOBOT COMMERCIAL READINESS INDEX (CRI)</t>
  </si>
  <si>
    <t>Offtake Agreement</t>
  </si>
  <si>
    <t>Jumlah volume produk yang telah terikat dalam nota kesepahaman (MOU/Offtake Agreement) dengan pembeli domestik.</t>
  </si>
  <si>
    <t>Marketing Strategy</t>
  </si>
  <si>
    <t>Kesiapan strategi penetapan harga kompetitif terhadap produk impor dan diversifikasi varian produk.</t>
  </si>
  <si>
    <t>Distribution Readiness</t>
  </si>
  <si>
    <t>Kesiapan logistik pengiriman produk akhir: bagging unit, armada pengangkutan darat, konveyor pelabuhan.</t>
  </si>
  <si>
    <t>Operation Team Ready</t>
  </si>
  <si>
    <t>Kesiapan tim operasi pabrik: sertifikasi operator, SOP pengoperasian, pelatihan simulasi kondisi darurat.</t>
  </si>
  <si>
    <t>Product Qualification</t>
  </si>
  <si>
    <t>Kesiapan laboratorium pengujian mutu produk &amp; sertifikasi SNI agar memenuhi kualifikasi industri premium.</t>
  </si>
  <si>
    <t>5. TABEL BATAS TOLERANSI (THRESHOLD) - SISTEM RAG (RED-AMBER-GREEN)</t>
  </si>
  <si>
    <t>Indikator</t>
  </si>
  <si>
    <t>Hijau</t>
  </si>
  <si>
    <t>Kuning</t>
  </si>
  <si>
    <t>Oranye</t>
  </si>
  <si>
    <t>Merah</t>
  </si>
  <si>
    <t>CPI</t>
  </si>
  <si>
    <t>CPI &gt;= 1,00</t>
  </si>
  <si>
    <t>0,95-0,99</t>
  </si>
  <si>
    <t>0,90-0,94</t>
  </si>
  <si>
    <t>CPI &lt; 0,90</t>
  </si>
  <si>
    <t>SPI</t>
  </si>
  <si>
    <t>SPI &gt;= 1,00</t>
  </si>
  <si>
    <t>SPI &lt; 0,90</t>
  </si>
  <si>
    <t>Supply Readiness</t>
  </si>
  <si>
    <t>SRI</t>
  </si>
  <si>
    <t>SRI &gt;= 90%</t>
  </si>
  <si>
    <t>75-89%</t>
  </si>
  <si>
    <t>65-74%</t>
  </si>
  <si>
    <t>SRI &lt; 65%</t>
  </si>
  <si>
    <t>Project Execution</t>
  </si>
  <si>
    <t>Deviasi Fisik</t>
  </si>
  <si>
    <t>&lt;= 4%</t>
  </si>
  <si>
    <t>4,1-6%</t>
  </si>
  <si>
    <t>6,1-10%</t>
  </si>
  <si>
    <t>&gt; 10%</t>
  </si>
  <si>
    <t>Commercial Readiness</t>
  </si>
  <si>
    <t>CRI</t>
  </si>
  <si>
    <t>CRI &gt;= 80%</t>
  </si>
  <si>
    <t>60-79%</t>
  </si>
  <si>
    <t>50-59%</t>
  </si>
  <si>
    <t>CRI &lt; 50%</t>
  </si>
  <si>
    <t>Overall Health</t>
  </si>
  <si>
    <t>PHS</t>
  </si>
  <si>
    <t>90-100%</t>
  </si>
  <si>
    <t>60-74%</t>
  </si>
  <si>
    <t>&lt; 60%</t>
  </si>
  <si>
    <t>6. KRITERIA LIKELIHOOD (PROBABILITAS) - MATRIKS RISIKO 5x5</t>
  </si>
  <si>
    <t>Catatan: kriteria berikut merupakan kriteria standar manajemen risiko (ISO 31000 &amp; benchmark Pertamina RCSA/KRI). Sesuaikan dengan Pedoman Manajemen Risiko Perusahaan X resmi apabila tersedia angka baku internal.</t>
  </si>
  <si>
    <t>Level (L)</t>
  </si>
  <si>
    <t>Kategori</t>
  </si>
  <si>
    <t>Kriteria Probabilitas Kejadian</t>
  </si>
  <si>
    <t>Sangat Jarang Terjadi</t>
  </si>
  <si>
    <t>Kemungkinan terjadi &lt; 10% selama siklus proyek; belum pernah terjadi pada proyek sejenis.</t>
  </si>
  <si>
    <t>Jarang Terjadi</t>
  </si>
  <si>
    <t>Kemungkinan terjadi 10-30%; pernah terjadi namun jarang pada proyek EPC sejenis.</t>
  </si>
  <si>
    <t>Bisa Terjadi</t>
  </si>
  <si>
    <t>Kemungkinan terjadi 30-50%; pernah terjadi beberapa kali pada proyek sejenis.</t>
  </si>
  <si>
    <t>Sangat Mungkin Terjadi</t>
  </si>
  <si>
    <t>Kemungkinan terjadi 50-70%; kondisi/indikasi saat ini mengarah pada terjadinya risiko.</t>
  </si>
  <si>
    <t>Hampir Pasti Terjadi</t>
  </si>
  <si>
    <t>Kemungkinan terjadi &gt; 70%; sudah terdapat indikasi kuat / sedang berlangsung saat ini.</t>
  </si>
  <si>
    <t>7. KRITERIA CONSEQUENCE (DAMPAK) - MATRIKS RISIKO 5x5</t>
  </si>
  <si>
    <t>Level (C)</t>
  </si>
  <si>
    <t>Kriteria Dampak (Finansial / Jadwal / Reputasi)</t>
  </si>
  <si>
    <t>Sangat Rendah</t>
  </si>
  <si>
    <t>Dampak biaya &lt; USD 0,5 Juta; keterlambatan jadwal &lt; 1 minggu; tanpa dampak reputasi/K3.</t>
  </si>
  <si>
    <t>Rendah</t>
  </si>
  <si>
    <t>Dampak biaya USD 0,5-2 Juta; keterlambatan jadwal 1-4 minggu; keluhan internal, dapat dikelola PIC.</t>
  </si>
  <si>
    <t>Moderat</t>
  </si>
  <si>
    <t>Dampak biaya USD 2-10 Juta; keterlambatan jadwal 1-2 bulan; perhatian manajemen menengah/PSC.</t>
  </si>
  <si>
    <t>Tinggi</t>
  </si>
  <si>
    <t>Dampak biaya USD 10-30 Juta; keterlambatan jadwal 2-6 bulan; berisiko pada target COD &amp; perhatian Direksi.</t>
  </si>
  <si>
    <t>Sangat Tinggi</t>
  </si>
  <si>
    <t>Dampak biaya &gt; USD 30 Juta; keterlambatan &gt; 6 bulan atau mengancam kegagalan COD; berdampak pada kelayakan NPV proyek &amp; reputasi korporat.</t>
  </si>
  <si>
    <t>8. KLASIFIKASI LEVEL RISIKO - 5 TINGKAT (Pedoman Manajemen Risiko Perusahaan X)</t>
  </si>
  <si>
    <t>Skor Matriks L x C TIDAK lagi dihitung dari perkalian langsung L x C dengan pembagian rentang rata, melainkan menggunakan Tabel Skala Risiko Non-Linear (Skala 1-25) pada bagian 10 di bawah, yang memprioritaskan bobot Consequence (Dampak) dibanding Likelihood (Probabilitas) untuk kombinasi bernilai sama — konsisten dengan pendekatan penentuan level risiko non-linear yang lazim digunakan pada matriks 5x5 ISO 31000:2018 / AS-NZS ISO 31000 dan praktik matriks risiko K3/SMKP BUMN sektor energi-tambang (rujukan pola: Kepdirjen Minerba No.1827.K/30/MEM/2018). Overall Risk Index (skala 0-100, benchmark Pertamina) tetap memakai rentang rata seperti semula.</t>
  </si>
  <si>
    <t>Level Risiko</t>
  </si>
  <si>
    <t>Skor Matriks L x C (1-25)</t>
  </si>
  <si>
    <t>Overall Risk Index (0-100)</t>
  </si>
  <si>
    <t>1 - 5</t>
  </si>
  <si>
    <t>0 - 20</t>
  </si>
  <si>
    <t>6 - 11</t>
  </si>
  <si>
    <t>21 - 40</t>
  </si>
  <si>
    <t>12 - 15</t>
  </si>
  <si>
    <t>41 - 60</t>
  </si>
  <si>
    <t>16 - 19</t>
  </si>
  <si>
    <t>61 - 80</t>
  </si>
  <si>
    <t>20 - 25</t>
  </si>
  <si>
    <t>81 - 100</t>
  </si>
  <si>
    <t>9. KOMPOSISI SUB-INDEKS OVERALL RISK INDEX (BENCHMARK PERTAMINA)</t>
  </si>
  <si>
    <t>Bahan baku garam industri, kualitas garam lokal vs impor, keandalan pemasok, risiko logistik maritim, kesiapan gudang, kesiapan utilitas.</t>
  </si>
  <si>
    <t>Kesiapan rekayasa desain, pengadaan peralatan utama, produktivitas tenaga kerja, antarmuka antar-EPC, pengapalan long lead items, kesiapan uji fungsi.</t>
  </si>
  <si>
    <t>Pengikatan kontrak offtake, fluktuasi harga Proyek X global, tekanan produk impor, kesiapan logistik distribusi hilir, sertifikasi kualitas produk.</t>
  </si>
  <si>
    <t>Overall Risk Index = (Supply Risk Index x 0,40) + (Execution Risk Index x 0,40) + (Commercial Risk Index x 0,20)</t>
  </si>
  <si>
    <t>Sumber benchmark tata kelola risiko: PT Pertamina (Persero) - Direktorat Manajemen Risiko (2nd Line of Defense, Permen BUMN No.02/2023), Komite Tata Kelola Terintegrasi (KTKT), Gate Review/FID, RCSA, KRI, ICT, C-RBDD; PT Biro Klasifikasi Indonesia (Persero) - SK-6/2023 (Risk Appetite berbasis Net Working Capital); klasifikasi 5-tingkat Low/Low to Moderate/Moderate/Moderate to High/High mengikuti nomenklatur Pedoman Manajemen Risiko Perusahaan X.</t>
  </si>
  <si>
    <t>10. TABEL SKALA RISIKO (RISK RANKING) 5x5 NON-LINEAR &amp; WARNA HEAT MAP</t>
  </si>
  <si>
    <t>Tabel skala risiko berikut menetapkan urutan (rank) 1-25 untuk setiap 25 kombinasi Likelihood (L) x Consequence (C) sesuai spesifikasi metodologi risiko internal yang ditetapkan Project Control Proyek X Perusahaan X. Berbeda dari perkalian L x C sederhana, urutan ini memberi bobot lebih besar pada Consequence saat terjadi nilai sama, mengikuti kaidah umum non-linear risk ranking pada standar ISO 31000:2018 dan praktik matriks risiko korporasi BUMN. Skala menentukan posisi &amp; warna sel pada Risk Profile Heat Map di sheet Dashboard.</t>
  </si>
  <si>
    <t>Key (L x10 + C)</t>
  </si>
  <si>
    <t>L (1-5)</t>
  </si>
  <si>
    <t>C (1-5)</t>
  </si>
  <si>
    <t>Skala (1-25)</t>
  </si>
  <si>
    <t>Kode Warna (Hex)</t>
  </si>
  <si>
    <t>#538135</t>
  </si>
  <si>
    <t>#A9D18E</t>
  </si>
  <si>
    <t>#FFD966</t>
  </si>
  <si>
    <t>#F4B183</t>
  </si>
  <si>
    <t>#E06666</t>
  </si>
  <si>
    <t>Sumber/Referensi Tabel Skala: metodologi non-linear risk ranking ISO 31000:2018 (klausul 5.4.3 - penentuan level risiko); praktik matriks 5x5 K3/SMKP BUMN sektor energi &amp; tambang; disesuaikan dengan nomenklatur 5-tingkat Pedoman Manajemen Risiko Perusahaan X (Low / Low to Moderate / Moderate / Moderate to High / High).</t>
  </si>
  <si>
    <t>11. METODOLOGI EARLY WARNING SYSTEM (EWS) — 3 STATUS (AMAN / WASPADA / BAHAYA)</t>
  </si>
  <si>
    <t>Setiap parameter EWS diklasifikasikan ke 3 status menggunakan pendekatan Key Risk Indicator (KRI) Traffic Light dengan buffer toleransi 10% dari threshold sebagai batas Waspada (Amber Zone), mengacu pada COSO Enterprise Risk Management Framework (2017) dan praktik RCSA-KRI PT Pertamina (Persero) yang telah dirujuk pada dokumen ini.</t>
  </si>
  <si>
    <t>Status</t>
  </si>
  <si>
    <t>Definisi Ambang Batas (untuk indikator "semakin tinggi semakin baik")</t>
  </si>
  <si>
    <t>Warna</t>
  </si>
  <si>
    <t>Nilai Aktual &gt;= Threshold (100% dari batas aman)</t>
  </si>
  <si>
    <t>Threshold x 90% &lt;= Nilai Aktual &lt; Threshold</t>
  </si>
  <si>
    <t>Nilai Aktual &lt; Threshold x 90%</t>
  </si>
  <si>
    <t>12. METODOLOGI PERHITUNGAN SUB-INDEKS RISIKO</t>
  </si>
  <si>
    <t>Masing-masing sub-indeks risiko dihitung melalui metode penilaian pakar (expert scoring) pada skala 0-100:</t>
  </si>
  <si>
    <t>Sub-Indeks</t>
  </si>
  <si>
    <t>Definisi</t>
  </si>
  <si>
    <t>Parameter Penilaian</t>
  </si>
  <si>
    <t>Skala</t>
  </si>
  <si>
    <t>Skor 0 (Terendah)</t>
  </si>
  <si>
    <t>Skor 100 (Tertinggi)</t>
  </si>
  <si>
    <t>Mengukur tingkat risiko rantai pasokan bahan baku proyek</t>
  </si>
  <si>
    <t>Ketersediaan kontrak garam jangka panjang, stabilitas harga, keandalan pemasok, kapasitas logistik &amp; pelabuhan, regulasi impor garam (Perpres 17/2025)</t>
  </si>
  <si>
    <t>0 – 100</t>
  </si>
  <si>
    <t>Risiko sangat rendah (pasokan sepenuhnya terjamin)</t>
  </si>
  <si>
    <t>Risiko sangat tinggi (pasokan tidak tersedia)</t>
  </si>
  <si>
    <t>Mengukur tingkat risiko pelaksanaan proyek EPC</t>
  </si>
  <si>
    <t>Progres konstruksi vs jadwal, performa kontraktor, isu interface antar EPC packages, kesiapan commissioning, ketersediaan sumber daya, kendala perizinan</t>
  </si>
  <si>
    <t>Risiko sangat rendah (eksekusi sempurna)</t>
  </si>
  <si>
    <t>Risiko sangat tinggi (proyek terhenti)</t>
  </si>
  <si>
    <t>Mengukur tingkat risiko komersial &amp; pemasaran produk Proyek X</t>
  </si>
  <si>
    <t>Offtake agreement, strategi pemasaran, kesiapan distribusi, kualifikasi produk, persaingan impor</t>
  </si>
  <si>
    <t>Risiko sangat rendah (pasar terjamin)</t>
  </si>
  <si>
    <t>Risiko sangat tinggi (pasar tidak tersedia)</t>
  </si>
  <si>
    <t>Formula Overall Risk Index = (Supply Risk Index × 0,4) + (Execution Risk Index × 0,4) + (Commercial Risk Index × 0,2)</t>
  </si>
  <si>
    <t>13. KLASIFIKASI JUMLAH REGISTER RISIKO AKTIF (5 TINGKAT Perusahaan X)</t>
  </si>
  <si>
    <t>Setiap risiko dalam register diklasifikasi berdasarkan Skala Risiko Non-Linear 5x5 (bagian 10) ke dalam 5 tingkat risiko Perusahaan X:</t>
  </si>
  <si>
    <t>Rentang Skala (1-25)</t>
  </si>
  <si>
    <t>Sel Input_Bulanan</t>
  </si>
  <si>
    <t>20 – 25</t>
  </si>
  <si>
    <t>D48</t>
  </si>
  <si>
    <t>16 – 19</t>
  </si>
  <si>
    <t>D49</t>
  </si>
  <si>
    <t>12 – 15</t>
  </si>
  <si>
    <t>D50</t>
  </si>
  <si>
    <t>6 – 11</t>
  </si>
  <si>
    <t>D51</t>
  </si>
  <si>
    <t>1 – 5</t>
  </si>
  <si>
    <t>D52</t>
  </si>
  <si>
    <t>INPUT DATA BULANAN — DIISI OLEH PIC / PROJECT CONTROL SETIAP PERIODE PELAPORAN</t>
  </si>
  <si>
    <t>Sel KUNING (font biru) = input manual. Sel ABU-ABU = formula otomatis, jangan diubah manual. Arahkan kursor ke label bertanda (i) untuk penjelasan parameter.</t>
  </si>
  <si>
    <t>Periode Pelaporan (Bulan/Tahun)</t>
  </si>
  <si>
    <t>Status Dokumen</t>
  </si>
  <si>
    <t>Final</t>
  </si>
  <si>
    <t>1. EARNED VALUE MANAGEMENT (EVM) — FINANCIAL &amp; SCHEDULE HEALTH  (satuan: USD Juta, kumulatif)</t>
  </si>
  <si>
    <t>Planned Value (PV) — kumulatif s.d. periode ini</t>
  </si>
  <si>
    <t>NPV</t>
  </si>
  <si>
    <t>Earned Value (EV) — kumulatif s.d. periode ini</t>
  </si>
  <si>
    <t>Actual Cost (AC) — kumulatif s.d. periode ini</t>
  </si>
  <si>
    <t>Net Present Value (NPV) — USD Juta</t>
  </si>
  <si>
    <t>Cost Performance Index (CPI = EV/AC)</t>
  </si>
  <si>
    <t>Cost Variance (CV = EV-AC), USD Juta</t>
  </si>
  <si>
    <t>Schedule Performance Index (SPI = EV/PV)</t>
  </si>
  <si>
    <t>Schedule Variance (SV = EV-PV), USD Juta</t>
  </si>
  <si>
    <t>2. SUPPLY READINESS INDEX (SRI) — skor kesiapan tiap parameter</t>
  </si>
  <si>
    <t>Salt Readiness</t>
  </si>
  <si>
    <t>SRI — Supply Readiness Index (tertimbang)</t>
  </si>
  <si>
    <t>3. PROJECT EXECUTION INDEX (PEI) — progres aktual tiap parameter</t>
  </si>
  <si>
    <t>Pencapaian Performance Test</t>
  </si>
  <si>
    <t>PEI — Project Execution Index (tertimbang)</t>
  </si>
  <si>
    <t>Deviasi Kemajuan Fisik vs Target (S-Curve)</t>
  </si>
  <si>
    <t>4. COMMERCIAL READINESS INDEX (CRI) — skor kesiapan tiap parameter</t>
  </si>
  <si>
    <t>Regulatory Readiness</t>
  </si>
  <si>
    <t>CRI — Commercial Readiness Index (tertimbang)</t>
  </si>
  <si>
    <t>5. OVERALL RISK INDEX — sub-indeks risiko (skor 0-100, benchmark Pertamina)</t>
  </si>
  <si>
    <t>Supply Risk Index (bobot 40%)</t>
  </si>
  <si>
    <t>Execution Risk Index (bobot 40%)</t>
  </si>
  <si>
    <t>Commercial Risk Index (bobot 20%)</t>
  </si>
  <si>
    <t>Overall Risk Index (tertimbang, skala 0-100)</t>
  </si>
  <si>
    <t>Overall Risk Level (5 Tingkat, formula)</t>
  </si>
  <si>
    <t>6. REGISTER RISIKO AKTIF — Jumlah Risiko per 5 Tingkat Perusahaan X</t>
  </si>
  <si>
    <t>7. STATUS MITIGASI &amp; DINAMIKA PERGERAKAN RISIKO (BULAN BERJALAN)</t>
  </si>
  <si>
    <t>Completed Mitigations (%)</t>
  </si>
  <si>
    <t>Risiko Baru (New Risk)</t>
  </si>
  <si>
    <t>Overdue Actions (%)</t>
  </si>
  <si>
    <t>Risiko Eskalasi (Escalated Risk)</t>
  </si>
  <si>
    <t>On Track Mitigations (%)</t>
  </si>
  <si>
    <t>Risiko Menurun (Reduced Risk)</t>
  </si>
  <si>
    <t>Risiko Ditutup (Closed Risk)</t>
  </si>
  <si>
    <t>8. EARLY WARNING SYSTEM (EWS) — NILAI AKTUAL PEMANTAUAN</t>
  </si>
  <si>
    <t>Parameter EWS</t>
  </si>
  <si>
    <t>Threshold (Batas Aman)</t>
  </si>
  <si>
    <t>Nilai Aktual</t>
  </si>
  <si>
    <t>Nilai Threshold (Numerik)</t>
  </si>
  <si>
    <t>Buffer Waspada (90%)</t>
  </si>
  <si>
    <t>Status EWS (3 Level)</t>
  </si>
  <si>
    <t>First Shipment</t>
  </si>
  <si>
    <t>Target (Threshold)</t>
  </si>
  <si>
    <t>hari</t>
  </si>
  <si>
    <t>Project Progress</t>
  </si>
  <si>
    <t>Minimal 80%</t>
  </si>
  <si>
    <t>%</t>
  </si>
  <si>
    <t>Offtaker Agreement</t>
  </si>
  <si>
    <t>9. TOP RISK REGISTER (C1-C4) — INPUT LIKELIHOOD (L) &amp; CONSEQUENCE (C) UNTUK HEAT MAP</t>
  </si>
  <si>
    <t>Skala Risiko &amp; Risk Level dihitung otomatis dari Tabel Skala Risiko Non-Linear 5x5 pada sheet Referensi_Threshold bagian 10 (bukan lagi perkalian L x C sederhana). Posisi pada Risk Profile Heat Map di sheet Dashboard mengikuti nilai L &amp; C ini secara otomatis.</t>
  </si>
  <si>
    <t>Kode</t>
  </si>
  <si>
    <t>Deskripsi Risiko Utama</t>
  </si>
  <si>
    <t>Score</t>
  </si>
  <si>
    <t>Risk Level</t>
  </si>
  <si>
    <t>C1</t>
  </si>
  <si>
    <t>Salt Supply Disruption (gangguan pasokan garam industri)</t>
  </si>
  <si>
    <t>Hulu / Supply</t>
  </si>
  <si>
    <t>C2</t>
  </si>
  <si>
    <t>Commissioning Delay (keterlambatan commissioning)</t>
  </si>
  <si>
    <t>Eksekusi</t>
  </si>
  <si>
    <t>C3</t>
  </si>
  <si>
    <t>EPC Interface Issue (isu EPC interface lintas kontraktor)</t>
  </si>
  <si>
    <t>C4</t>
  </si>
  <si>
    <t>Long Lead Equipment (keterlambatan peralatan utama)</t>
  </si>
  <si>
    <t>Pengadaan</t>
  </si>
  <si>
    <t>EXECUTIVE ACTION TRACKER — DIREKSI / PROJECT STEERING COMMITTEE (PSC)</t>
  </si>
  <si>
    <t>Proyek X Project Perusahaan X — diperbarui setiap periode pelaporan bulanan. Kategori Level mengikuti klasifikasi 5-tingkat Pedoman Manajemen Risiko Perusahaan X.</t>
  </si>
  <si>
    <t>No</t>
  </si>
  <si>
    <t>Isu Strategis / Peristiwa Risiko Kritis</t>
  </si>
  <si>
    <t>Kategori &amp; Level Risiko</t>
  </si>
  <si>
    <t>Keputusan &amp; Rencana Tindakan Diperlukan</t>
  </si>
  <si>
    <t>PIC (Unit Penanggung Jawab)</t>
  </si>
  <si>
    <t>Perkiraan Dampak Finansial &amp; Kelayakan NPV</t>
  </si>
  <si>
    <t>Prioritas Dashboard (1, 2, 3...)</t>
  </si>
  <si>
    <t>Helper Priority Score</t>
  </si>
  <si>
    <t>1</t>
  </si>
  <si>
    <t>Ketergantungan Antarmuka (Interface) Lintas EPC-A, B, C, D</t>
  </si>
  <si>
    <t>Eksekusi — High</t>
  </si>
  <si>
    <t>Mengesahkan pembentukan tim Interface Coordinator dan menerapkan Interface Management Plan (IMP) yang mengikat seluruh kontraktor; mengharuskan Rekind menyelaraskan jadwal penyusunan gambar detail dengan kemajuan ISBL EPC-A.</t>
  </si>
  <si>
    <t>VP Proyek Proyek X &amp; SVP Pengembangan Portofolio</t>
  </si>
  <si>
    <t>Mencegah kegagalan penyelesaian proyek bersamaan, mengamankan target COD Maret 2028, melindungi NPV sebesar USD 77,60 Juta.</t>
  </si>
  <si>
    <t>2</t>
  </si>
  <si>
    <t>Keterbatasan Kapasitas Keuangan Rekind (EPC-B)</t>
  </si>
  <si>
    <t>Finansial — Moderate to High</t>
  </si>
  <si>
    <t>Memberikan dispensasi perpanjangan jaminan pelaksanaan secara terkendali; meminta Parent Company Guarantee dari PT Perusahaan Induk X (Persero) untuk menjamin ketersediaan pendanaan bila Rekind menghadapi kendala likuiditas.</t>
  </si>
  <si>
    <t>Direktur Utama Perusahaan X &amp; SVP Keuangan</t>
  </si>
  <si>
    <t>Melindungi penyelesaian gardu kelistrikan dan fasilitas tie-in, menghindari denda klaim tambahan dari EPC-A.</t>
  </si>
  <si>
    <t>3</t>
  </si>
  <si>
    <t>Kelangkaan &amp; Hambatan Perizinan Impor Garam Industri</t>
  </si>
  <si>
    <t>Hulu / Supply — Moderate to High</t>
  </si>
  <si>
    <t>Lobi aktif dan koordinasi dengan Kementerian Perindustrian serta Kementerian Kelautan dan Perikanan guna mengamankan alokasi kuota impor tahunan setahun sebelum operasional dimulai, merujuk Perpres No.17/2025.</t>
  </si>
  <si>
    <t>Direktur Utama Perusahaan X &amp; SVP Pengembangan Portofolio</t>
  </si>
  <si>
    <t>Menghindari penghentian operasional akibat kekosongan bahan baku; menghemat potensi kerugian EBITDA Rp 137 Miliar/kuartal.</t>
  </si>
  <si>
    <t>4</t>
  </si>
  <si>
    <t>Fluktuasi Nilai Tukar Valas Terhadap Sisa Pembayaran Kontrak EPC-A</t>
  </si>
  <si>
    <t>Keuangan — Moderate</t>
  </si>
  <si>
    <t>Menginstruksikan Kompartemen Keuangan mengimplementasikan strategi hedging valas (forward/opsi) bekerja sama dengan bank BUMN nasional untuk mengunci porsi sisa pembayaran dalam USD.</t>
  </si>
  <si>
    <t>Direktur Keuangan Perusahaan X</t>
  </si>
  <si>
    <t>Mengeliminasi risiko pembengkakan biaya investasi riil akibat depresiasi rupiah; mengamankan ambang batas investasi USD 297,67 Juta.</t>
  </si>
  <si>
    <t>5</t>
  </si>
  <si>
    <t>Hambatan Penerbitan PBG &amp; SLF di Lahan Tursina Barat</t>
  </si>
  <si>
    <t>Regulasi — Moderate</t>
  </si>
  <si>
    <t>Membentuk tim percepatan perizinan internal untuk koordinasi harian dengan DLH Kota X dan Dinas PUPR Provinsi Provinsi X guna mempercepat adendum dokumen lingkungan di lahan sengketa.</t>
  </si>
  <si>
    <t>VP Hukum &amp; Humas Perusahaan X</t>
  </si>
  <si>
    <t>Mencegah keterlambatan masa efektif konstruksi fisik; menghemat opportunity cost of capital senilai Rp 500 Juta/bulan.</t>
  </si>
  <si>
    <t>Sumber tata kelola: Risk Register Proyek X 2025; kerangka Gate Review &amp; FID PT Pertamina (Persero); Weighted Project Top Risk (Financial Materiality 40%, Strategic Impact 30%, Life Cycle Phase 15%, Financial Health Impact 10%, Baseline Risk Complexity 5%). Level risiko mengikuti klasifikasi 5-tingkat Pedoman Manajemen Risiko Perusahaan X: Low / Low to Moderate / Moderate / Moderate to High / High.</t>
  </si>
  <si>
    <t>DINAMIKA PERGERAKAN RISIKO (BULAN BERJALAN)</t>
  </si>
  <si>
    <t>Perubahan tarif pajak masukan impor garam industri; risiko sengketa lahan tambahan di area laydown.</t>
  </si>
  <si>
    <t>Peningkatan level risiko keterlambatan Rekind akibat kendala arus kas internal.</t>
  </si>
  <si>
    <t>Penurunan risiko dampak sosial setelah disepakatinya kuota tenaga kerja lokal.</t>
  </si>
  <si>
    <t>Penutupan risiko kelayakan AMDAL seiring diterbitkannya izin adendum lingkungan DLH Bontang.</t>
  </si>
  <si>
    <t>TOP RISK REGISTER (C1-C4) - DETAIL LIKELIHOOD x CONSEQUENCE</t>
  </si>
  <si>
    <t>Deskripsi Risiko</t>
  </si>
  <si>
    <t>L</t>
  </si>
  <si>
    <t>C</t>
  </si>
  <si>
    <t>Score /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</si>
</sst>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#,##0.0;\(#,##0.0\)"/>
    <numFmt numFmtId="166" formatCode="dd\-mmm\-yy"/>
    <numFmt numFmtId="167" formatCode="0.0000"/>
    <numFmt numFmtId="168" formatCode="yyyy\-mm\-dd"/>
  </numFmts>
  <fonts count="6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FF6A13"/>
      <name val="Arial"/>
      <charset val="1"/>
    </font>
    <font>
      <b/>
      <sz val="10.5"/>
      <color rgb="FFFFFFFF"/>
      <name val="Arial"/>
      <charset val="1"/>
    </font>
    <font>
      <b/>
      <sz val="8.6999999999999993"/>
      <color rgb="FFFFFFFF"/>
      <name val="Arial"/>
      <charset val="1"/>
    </font>
    <font>
      <b/>
      <sz val="8.5"/>
      <color rgb="FFFFFFFF"/>
      <name val="Arial"/>
      <charset val="1"/>
    </font>
    <font>
      <b/>
      <sz val="26"/>
      <color rgb="FF0B1F3A"/>
      <name val="Arial"/>
      <charset val="1"/>
    </font>
    <font>
      <sz val="9"/>
      <color rgb="FF1B2430"/>
      <name val="Arial"/>
      <charset val="1"/>
    </font>
    <font>
      <b/>
      <sz val="11"/>
      <color rgb="FF0B1F3A"/>
      <name val="Arial"/>
      <charset val="1"/>
    </font>
    <font>
      <b/>
      <sz val="19"/>
      <color rgb="FFFFFFFF"/>
      <name val="Arial"/>
      <charset val="1"/>
    </font>
    <font>
      <sz val="7.5"/>
      <color rgb="FF5B6B84"/>
      <name val="Arial"/>
      <charset val="1"/>
    </font>
    <font>
      <b/>
      <sz val="8.5"/>
      <color rgb="FF0C2038"/>
      <name val="Arial"/>
      <charset val="1"/>
    </font>
    <font>
      <b/>
      <sz val="10"/>
      <color rgb="FFFFFFFF"/>
      <name val="Arial"/>
      <charset val="1"/>
    </font>
    <font>
      <b/>
      <sz val="9.5"/>
      <color rgb="FF0B1F3A"/>
      <name val="Arial"/>
      <charset val="1"/>
    </font>
    <font>
      <i/>
      <sz val="7"/>
      <color rgb="FF5B6B84"/>
      <name val="Arial"/>
      <charset val="1"/>
    </font>
    <font>
      <b/>
      <sz val="10.5"/>
      <color rgb="FF0B1F3A"/>
      <name val="Arial"/>
      <charset val="1"/>
    </font>
    <font>
      <sz val="8.6999999999999993"/>
      <color rgb="FF1B2430"/>
      <name val="Arial"/>
      <charset val="1"/>
    </font>
    <font>
      <b/>
      <sz val="10"/>
      <color rgb="FF0B1F3A"/>
      <name val="Arial"/>
      <charset val="1"/>
    </font>
    <font>
      <b/>
      <sz val="10"/>
      <color rgb="FF1B2430"/>
      <name val="Arial"/>
      <charset val="1"/>
    </font>
    <font>
      <b/>
      <sz val="9"/>
      <color rgb="FFFFFFFF"/>
      <name val="Arial"/>
      <charset val="1"/>
    </font>
    <font>
      <sz val="7.6"/>
      <color rgb="FF1B2430"/>
      <name val="Arial"/>
      <charset val="1"/>
    </font>
    <font>
      <i/>
      <sz val="7.3"/>
      <color rgb="FF7C8CA6"/>
      <name val="Arial"/>
      <charset val="1"/>
    </font>
    <font>
      <b/>
      <sz val="8.6999999999999993"/>
      <color rgb="FF1B2430"/>
      <name val="Arial"/>
      <charset val="1"/>
    </font>
    <font>
      <b/>
      <sz val="10"/>
      <color rgb="FFC0392B"/>
      <name val="Arial"/>
      <charset val="1"/>
    </font>
    <font>
      <b/>
      <sz val="9.5"/>
      <color rgb="FF1B2430"/>
      <name val="Arial"/>
      <charset val="1"/>
    </font>
    <font>
      <sz val="8.3000000000000007"/>
      <color rgb="FF1B2430"/>
      <name val="Arial"/>
      <charset val="1"/>
    </font>
    <font>
      <b/>
      <sz val="14"/>
      <color rgb="FF0B1F3A"/>
      <name val="Arial"/>
      <charset val="1"/>
    </font>
    <font>
      <i/>
      <sz val="9"/>
      <color rgb="FF55606E"/>
      <name val="Arial"/>
      <charset val="1"/>
    </font>
    <font>
      <b/>
      <sz val="13"/>
      <color rgb="FFFFFFFF"/>
      <name val="Arial"/>
      <charset val="1"/>
    </font>
    <font>
      <sz val="9.5"/>
      <color rgb="FF1B2430"/>
      <name val="Arial"/>
      <charset val="1"/>
    </font>
    <font>
      <i/>
      <sz val="8.3000000000000007"/>
      <color rgb="FF55606E"/>
      <name val="Arial"/>
      <charset val="1"/>
    </font>
    <font>
      <i/>
      <sz val="9.5"/>
      <color rgb="FF1B2430"/>
      <name val="Arial"/>
      <charset val="1"/>
    </font>
    <font>
      <i/>
      <sz val="8.5"/>
      <color rgb="FF55606E"/>
      <name val="Arial"/>
      <charset val="1"/>
    </font>
    <font>
      <b/>
      <sz val="9"/>
      <color rgb="FF1B2430"/>
      <name val="Arial"/>
      <charset val="1"/>
    </font>
    <font>
      <i/>
      <sz val="9"/>
      <color rgb="FF1B2430"/>
      <name val="Arial"/>
      <charset val="1"/>
    </font>
    <font>
      <sz val="9"/>
      <color rgb="FFFFFFFF"/>
      <name val="Arial"/>
      <charset val="1"/>
    </font>
    <font>
      <sz val="10"/>
      <color rgb="FF0000FF"/>
      <name val="Arial"/>
      <charset val="1"/>
    </font>
    <font>
      <b/>
      <sz val="12"/>
      <color rgb="FFFFFFFF"/>
      <name val="Arial"/>
      <charset val="1"/>
    </font>
    <font>
      <sz val="10"/>
      <color rgb="FF1B2430"/>
      <name val="Arial"/>
      <charset val="1"/>
    </font>
    <font>
      <b/>
      <sz val="11"/>
      <color rgb="FFFFFFFF"/>
      <name val="Arial"/>
      <charset val="1"/>
    </font>
    <font>
      <b/>
      <sz val="10"/>
      <color rgb="FFFFFFFF"/>
      <name val="Calibri"/>
    </font>
    <font>
      <b/>
      <sz val="10"/>
      <color rgb="FF0C2038"/>
      <name val="Calibri"/>
    </font>
    <font>
      <b/>
      <sz val="10"/>
      <color rgb="FF0B1F3A"/>
      <name val="Calibri"/>
    </font>
    <font>
      <b/>
      <sz val="10"/>
      <color rgb="FFFFFFFF"/>
      <name val="Arial"/>
    </font>
    <font>
      <sz val="11"/>
      <color rgb="FF000000"/>
      <name val="Calibri"/>
    </font>
    <font>
      <b/>
      <sz val="9"/>
      <color rgb="FFFFFFFF"/>
      <name val="Arial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538135"/>
      <name val="Calibri"/>
      <family val="2"/>
      <charset val="1"/>
    </font>
    <font>
      <b/>
      <sz val="8"/>
      <color rgb="FF1B2430"/>
      <name val="Arial"/>
      <family val="2"/>
    </font>
    <font>
      <sz val="11"/>
      <color rgb="FFFFFFFF"/>
      <name val="Calibri"/>
    </font>
    <font>
      <b/>
      <sz val="11"/>
      <color theme="1"/>
      <name val="Calibri"/>
      <family val="2"/>
    </font>
    <font>
      <b/>
      <sz val="11"/>
      <color rgb="FF0070C0"/>
      <name val="Calibri"/>
      <family val="2"/>
    </font>
    <font>
      <b/>
      <sz val="14"/>
      <color rgb="FFFFFFFF"/>
      <name val="Calibri"/>
    </font>
    <font>
      <i/>
      <sz val="10"/>
      <name val="Calibri"/>
    </font>
    <font>
      <b/>
      <sz val="12"/>
      <color rgb="FF0B1F3A"/>
      <name val="Calibri"/>
    </font>
    <font>
      <sz val="11"/>
      <name val="Calibri"/>
    </font>
    <font>
      <b/>
      <sz val="11"/>
      <color rgb="FF0066CC"/>
      <name val="Calibri"/>
    </font>
    <font>
      <b/>
      <sz val="11"/>
      <color rgb="FFFFFFFF"/>
      <name val="Calibri"/>
    </font>
    <font>
      <b/>
      <sz val="11"/>
      <color rgb="FF0066CC"/>
      <name val="Calibri"/>
    </font>
  </fonts>
  <fills count="41">
    <fill>
      <patternFill patternType="none"/>
    </fill>
    <fill>
      <patternFill patternType="gray125"/>
    </fill>
    <fill>
      <patternFill patternType="solid">
        <fgColor rgb="FF0B1F3A"/>
        <bgColor rgb="FF0C2038"/>
      </patternFill>
    </fill>
    <fill>
      <patternFill patternType="solid">
        <fgColor rgb="FF1B3A63"/>
        <bgColor rgb="FF12294D"/>
      </patternFill>
    </fill>
    <fill>
      <patternFill patternType="solid">
        <fgColor rgb="FF12294D"/>
        <bgColor rgb="FF0C2038"/>
      </patternFill>
    </fill>
    <fill>
      <patternFill patternType="solid">
        <fgColor rgb="FFFFFFFF"/>
        <bgColor rgb="FFF2F4F7"/>
      </patternFill>
    </fill>
    <fill>
      <patternFill patternType="solid">
        <fgColor rgb="FFE06666"/>
        <bgColor rgb="FFFF6A13"/>
      </patternFill>
    </fill>
    <fill>
      <patternFill patternType="solid">
        <fgColor rgb="FFFFD966"/>
        <bgColor rgb="FFFCE29B"/>
      </patternFill>
    </fill>
    <fill>
      <patternFill patternType="solid">
        <fgColor rgb="FFF4B183"/>
        <bgColor rgb="FFF5B27A"/>
      </patternFill>
    </fill>
    <fill>
      <patternFill patternType="solid">
        <fgColor rgb="FFA9D18E"/>
        <bgColor rgb="FFC9E4A6"/>
      </patternFill>
    </fill>
    <fill>
      <patternFill patternType="solid">
        <fgColor rgb="FF538135"/>
        <bgColor rgb="FF5B6B84"/>
      </patternFill>
    </fill>
    <fill>
      <patternFill patternType="solid">
        <fgColor rgb="FFF2F4F7"/>
        <bgColor rgb="FFFFFFFF"/>
      </patternFill>
    </fill>
    <fill>
      <patternFill patternType="solid">
        <fgColor rgb="FFF1A9A0"/>
        <bgColor rgb="FFF4B183"/>
      </patternFill>
    </fill>
    <fill>
      <patternFill patternType="solid">
        <fgColor rgb="FFF5B27A"/>
        <bgColor rgb="FFF4B183"/>
      </patternFill>
    </fill>
    <fill>
      <patternFill patternType="solid">
        <fgColor rgb="FFFCE29B"/>
        <bgColor rgb="FFFFF2A0"/>
      </patternFill>
    </fill>
    <fill>
      <patternFill patternType="solid">
        <fgColor rgb="FFFFE3CC"/>
        <bgColor rgb="FFFCE29B"/>
      </patternFill>
    </fill>
    <fill>
      <patternFill patternType="solid">
        <fgColor rgb="FFC9E4A6"/>
        <bgColor rgb="FFD5DBE5"/>
      </patternFill>
    </fill>
    <fill>
      <patternFill patternType="solid">
        <fgColor rgb="FFFFF2A0"/>
        <bgColor rgb="FFFCE29B"/>
      </patternFill>
    </fill>
    <fill>
      <patternFill patternType="solid">
        <fgColor rgb="FFE06666"/>
        <bgColor rgb="FFE06666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  <fill>
      <patternFill patternType="solid">
        <fgColor rgb="FF538135"/>
        <bgColor rgb="FF538135"/>
      </patternFill>
    </fill>
    <fill>
      <patternFill patternType="solid">
        <fgColor rgb="FF12294D"/>
        <bgColor rgb="FF12294D"/>
      </patternFill>
    </fill>
    <fill>
      <patternFill patternType="solid">
        <fgColor rgb="FFE06666"/>
        <bgColor rgb="FFE06666"/>
      </patternFill>
    </fill>
    <fill>
      <patternFill patternType="solid">
        <fgColor rgb="FFF4B183"/>
        <bgColor rgb="FFF4B183"/>
      </patternFill>
    </fill>
    <fill>
      <patternFill patternType="solid">
        <fgColor rgb="FFFFD966"/>
        <bgColor rgb="FFFFD966"/>
      </patternFill>
    </fill>
    <fill>
      <patternFill patternType="solid">
        <fgColor rgb="FFA9D18E"/>
        <bgColor rgb="FFA9D18E"/>
      </patternFill>
    </fill>
    <fill>
      <patternFill patternType="solid">
        <fgColor rgb="FF538135"/>
        <bgColor rgb="FF538135"/>
      </patternFill>
    </fill>
    <fill>
      <patternFill patternType="solid">
        <fgColor rgb="FFEAEAEA"/>
        <bgColor rgb="FFEAEAEA"/>
      </patternFill>
    </fill>
    <fill>
      <patternFill patternType="solid">
        <fgColor rgb="FF0B1F3A"/>
        <bgColor rgb="FF0B1F3A"/>
      </patternFill>
    </fill>
    <fill>
      <patternFill patternType="solid">
        <fgColor rgb="FFD4E6F3"/>
        <bgColor rgb="FFD4E6F3"/>
      </patternFill>
    </fill>
    <fill>
      <patternFill patternType="solid">
        <fgColor rgb="FFF0F0F0"/>
        <bgColor rgb="FFF0F0F0"/>
      </patternFill>
    </fill>
    <fill>
      <patternFill patternType="solid">
        <fgColor rgb="FFFFFF99"/>
        <bgColor rgb="FFFFFF99"/>
      </patternFill>
    </fill>
    <fill>
      <patternFill patternType="solid">
        <fgColor rgb="FF2E9B57"/>
        <bgColor rgb="FF2E9B57"/>
      </patternFill>
    </fill>
    <fill>
      <patternFill patternType="solid">
        <fgColor rgb="FFE8B93A"/>
        <bgColor rgb="FFE8B93A"/>
      </patternFill>
    </fill>
    <fill>
      <patternFill patternType="solid">
        <fgColor rgb="FFE4622E"/>
        <bgColor rgb="FFE4622E"/>
      </patternFill>
    </fill>
    <fill>
      <patternFill patternType="solid">
        <fgColor rgb="FFC0392B"/>
        <bgColor rgb="FFC0392B"/>
      </patternFill>
    </fill>
    <fill>
      <patternFill patternType="solid">
        <fgColor rgb="FFF0F0F0"/>
        <bgColor rgb="FFF0F0F0"/>
      </patternFill>
    </fill>
    <fill>
      <patternFill patternType="solid">
        <fgColor rgb="FFFFFF99"/>
        <bgColor rgb="FFFFFF99"/>
      </patternFill>
    </fill>
    <fill>
      <patternFill patternType="solid">
        <fgColor rgb="FFD4E6F3"/>
        <bgColor rgb="FFD4E6F3"/>
      </patternFill>
    </fill>
  </fills>
  <borders count="16">
    <border>
      <left/>
      <right/>
      <top/>
      <bottom/>
      <diagonal/>
    </border>
    <border>
      <left style="thin">
        <color rgb="FFB9C2CE"/>
      </left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 style="thin">
        <color rgb="FFB9C2CE"/>
      </top>
      <bottom style="thin">
        <color rgb="FFB9C2CE"/>
      </bottom>
      <diagonal/>
    </border>
    <border>
      <left style="thin">
        <color rgb="FFD5DBE5"/>
      </left>
      <right style="thin">
        <color rgb="FFD5DBE5"/>
      </right>
      <top style="thin">
        <color rgb="FFD5DBE5"/>
      </top>
      <bottom style="thin">
        <color rgb="FFD5DBE5"/>
      </bottom>
      <diagonal/>
    </border>
    <border>
      <left/>
      <right/>
      <top style="thin">
        <color rgb="FFB9C2CE"/>
      </top>
      <bottom/>
      <diagonal/>
    </border>
    <border>
      <left/>
      <right style="thin">
        <color rgb="FFB9C2CE"/>
      </right>
      <top style="thin">
        <color rgb="FFB9C2CE"/>
      </top>
      <bottom/>
      <diagonal/>
    </border>
    <border>
      <left/>
      <right/>
      <top style="thin">
        <color rgb="FFB9C2CE"/>
      </top>
      <bottom style="thin">
        <color rgb="FFB9C2CE"/>
      </bottom>
      <diagonal/>
    </border>
    <border>
      <left/>
      <right style="thin">
        <color rgb="FFB9C2CE"/>
      </right>
      <top style="thin">
        <color rgb="FFB9C2CE"/>
      </top>
      <bottom style="thin">
        <color rgb="FFB9C2CE"/>
      </bottom>
      <diagonal/>
    </border>
    <border>
      <left style="thin">
        <color rgb="FFB9C2CE"/>
      </left>
      <right/>
      <top/>
      <bottom/>
      <diagonal/>
    </border>
    <border>
      <left/>
      <right style="thin">
        <color rgb="FFB9C2CE"/>
      </right>
      <top/>
      <bottom/>
      <diagonal/>
    </border>
    <border>
      <left style="thin">
        <color rgb="FFB9C2CE"/>
      </left>
      <right/>
      <top/>
      <bottom style="thin">
        <color rgb="FFB9C2CE"/>
      </bottom>
      <diagonal/>
    </border>
    <border>
      <left/>
      <right/>
      <top/>
      <bottom style="thin">
        <color rgb="FFB9C2CE"/>
      </bottom>
      <diagonal/>
    </border>
    <border>
      <left/>
      <right style="thin">
        <color rgb="FFB9C2CE"/>
      </right>
      <top/>
      <bottom style="thin">
        <color rgb="FFB9C2CE"/>
      </bottom>
      <diagonal/>
    </border>
    <border>
      <left/>
      <right/>
      <top style="thin">
        <color rgb="FFD5DBE5"/>
      </top>
      <bottom style="thin">
        <color rgb="FFD5DBE5"/>
      </bottom>
      <diagonal/>
    </border>
    <border>
      <left/>
      <right style="thin">
        <color rgb="FFD5DBE5"/>
      </right>
      <top style="thin">
        <color rgb="FFD5DBE5"/>
      </top>
      <bottom style="thin">
        <color rgb="FFD5DBE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10" fillId="0" borderId="0" xfId="0" applyFont="1" applyAlignment="1">
      <alignment horizontal="right" vertical="center"/>
    </xf>
    <xf numFmtId="0" fontId="5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right"/>
    </xf>
    <xf numFmtId="0" fontId="10" fillId="0" borderId="0" xfId="0" applyFont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1" fontId="18" fillId="11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6" fillId="0" borderId="0" xfId="0" applyFont="1"/>
    <xf numFmtId="0" fontId="12" fillId="3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left" vertical="top" wrapText="1"/>
    </xf>
    <xf numFmtId="0" fontId="29" fillId="5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left" vertical="top" wrapText="1"/>
    </xf>
    <xf numFmtId="0" fontId="24" fillId="11" borderId="1" xfId="0" applyFont="1" applyFill="1" applyBorder="1" applyAlignment="1">
      <alignment horizontal="left" vertical="top" wrapText="1"/>
    </xf>
    <xf numFmtId="0" fontId="29" fillId="11" borderId="1" xfId="0" applyFont="1" applyFill="1" applyBorder="1" applyAlignment="1">
      <alignment horizontal="left" vertical="top" wrapText="1"/>
    </xf>
    <xf numFmtId="0" fontId="30" fillId="11" borderId="1" xfId="0" applyFont="1" applyFill="1" applyBorder="1" applyAlignment="1">
      <alignment horizontal="left" vertical="top" wrapText="1"/>
    </xf>
    <xf numFmtId="0" fontId="18" fillId="0" borderId="0" xfId="0" applyFont="1"/>
    <xf numFmtId="0" fontId="33" fillId="11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3" fillId="11" borderId="1" xfId="0" applyFont="1" applyFill="1" applyBorder="1"/>
    <xf numFmtId="0" fontId="33" fillId="16" borderId="1" xfId="0" applyFont="1" applyFill="1" applyBorder="1" applyAlignment="1">
      <alignment horizontal="center" vertical="center" wrapText="1"/>
    </xf>
    <xf numFmtId="0" fontId="33" fillId="5" borderId="1" xfId="0" applyFont="1" applyFill="1" applyBorder="1"/>
    <xf numFmtId="0" fontId="33" fillId="14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24" fillId="9" borderId="1" xfId="0" applyFont="1" applyFill="1" applyBorder="1"/>
    <xf numFmtId="0" fontId="7" fillId="0" borderId="1" xfId="0" applyFont="1" applyBorder="1" applyAlignment="1">
      <alignment horizontal="center" vertical="center" wrapText="1"/>
    </xf>
    <xf numFmtId="0" fontId="24" fillId="16" borderId="1" xfId="0" applyFont="1" applyFill="1" applyBorder="1"/>
    <xf numFmtId="0" fontId="24" fillId="14" borderId="1" xfId="0" applyFont="1" applyFill="1" applyBorder="1"/>
    <xf numFmtId="0" fontId="24" fillId="13" borderId="1" xfId="0" applyFont="1" applyFill="1" applyBorder="1"/>
    <xf numFmtId="0" fontId="24" fillId="12" borderId="1" xfId="0" applyFont="1" applyFill="1" applyBorder="1"/>
    <xf numFmtId="0" fontId="30" fillId="0" borderId="0" xfId="0" applyFont="1" applyAlignment="1">
      <alignment horizontal="left" vertical="top" wrapText="1"/>
    </xf>
    <xf numFmtId="0" fontId="12" fillId="4" borderId="0" xfId="0" applyFont="1" applyFill="1"/>
    <xf numFmtId="0" fontId="0" fillId="4" borderId="0" xfId="0" applyFill="1"/>
    <xf numFmtId="0" fontId="7" fillId="0" borderId="3" xfId="0" applyFont="1" applyBorder="1" applyAlignment="1">
      <alignment horizontal="center" vertical="center"/>
    </xf>
    <xf numFmtId="0" fontId="35" fillId="10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35" fillId="6" borderId="3" xfId="0" applyFont="1" applyFill="1" applyBorder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1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33" fillId="7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left" vertical="center" wrapText="1"/>
    </xf>
    <xf numFmtId="164" fontId="36" fillId="17" borderId="1" xfId="0" applyNumberFormat="1" applyFont="1" applyFill="1" applyBorder="1" applyAlignment="1">
      <alignment horizontal="center" vertical="center" wrapText="1"/>
    </xf>
    <xf numFmtId="2" fontId="18" fillId="11" borderId="1" xfId="0" applyNumberFormat="1" applyFont="1" applyFill="1" applyBorder="1" applyAlignment="1">
      <alignment horizontal="center" vertical="center" wrapText="1"/>
    </xf>
    <xf numFmtId="165" fontId="18" fillId="11" borderId="1" xfId="0" applyNumberFormat="1" applyFont="1" applyFill="1" applyBorder="1" applyAlignment="1">
      <alignment horizontal="center" vertical="center" wrapText="1"/>
    </xf>
    <xf numFmtId="10" fontId="36" fillId="17" borderId="1" xfId="0" applyNumberFormat="1" applyFont="1" applyFill="1" applyBorder="1" applyAlignment="1">
      <alignment horizontal="center" vertical="center" wrapText="1"/>
    </xf>
    <xf numFmtId="2" fontId="36" fillId="17" borderId="1" xfId="0" applyNumberFormat="1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1" fontId="36" fillId="17" borderId="1" xfId="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1" fontId="7" fillId="0" borderId="0" xfId="0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top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4" fillId="0" borderId="1" xfId="0" applyFont="1" applyBorder="1"/>
    <xf numFmtId="1" fontId="18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2" fillId="0" borderId="0" xfId="0" applyFont="1"/>
    <xf numFmtId="0" fontId="40" fillId="22" borderId="0" xfId="0" applyFont="1" applyFill="1"/>
    <xf numFmtId="0" fontId="40" fillId="18" borderId="1" xfId="0" applyFont="1" applyFill="1" applyBorder="1" applyAlignment="1">
      <alignment horizontal="left" vertical="center" wrapText="1"/>
    </xf>
    <xf numFmtId="0" fontId="41" fillId="19" borderId="1" xfId="0" applyFont="1" applyFill="1" applyBorder="1" applyAlignment="1">
      <alignment horizontal="left" vertical="center" wrapText="1"/>
    </xf>
    <xf numFmtId="0" fontId="41" fillId="20" borderId="1" xfId="0" applyFont="1" applyFill="1" applyBorder="1" applyAlignment="1">
      <alignment horizontal="left" vertical="center" wrapText="1"/>
    </xf>
    <xf numFmtId="0" fontId="41" fillId="21" borderId="1" xfId="0" applyFont="1" applyFill="1" applyBorder="1" applyAlignment="1">
      <alignment horizontal="left" vertical="center" wrapText="1"/>
    </xf>
    <xf numFmtId="0" fontId="42" fillId="0" borderId="1" xfId="0" applyFont="1" applyBorder="1" applyAlignment="1">
      <alignment horizontal="left" vertical="center" wrapText="1"/>
    </xf>
    <xf numFmtId="1" fontId="42" fillId="0" borderId="1" xfId="0" applyNumberFormat="1" applyFont="1" applyBorder="1" applyAlignment="1">
      <alignment horizontal="center"/>
    </xf>
    <xf numFmtId="0" fontId="43" fillId="23" borderId="0" xfId="0" applyFont="1" applyFill="1"/>
    <xf numFmtId="0" fontId="0" fillId="23" borderId="0" xfId="0" applyFill="1"/>
    <xf numFmtId="0" fontId="45" fillId="23" borderId="15" xfId="0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left" vertical="top" wrapText="1"/>
    </xf>
    <xf numFmtId="0" fontId="47" fillId="24" borderId="15" xfId="0" applyFont="1" applyFill="1" applyBorder="1" applyAlignment="1">
      <alignment horizontal="center" vertical="center" wrapText="1"/>
    </xf>
    <xf numFmtId="0" fontId="44" fillId="0" borderId="15" xfId="0" applyFont="1" applyBorder="1" applyAlignment="1">
      <alignment horizontal="center" vertical="center" wrapText="1"/>
    </xf>
    <xf numFmtId="0" fontId="48" fillId="25" borderId="15" xfId="0" applyFont="1" applyFill="1" applyBorder="1" applyAlignment="1">
      <alignment horizontal="center" vertical="center" wrapText="1"/>
    </xf>
    <xf numFmtId="0" fontId="48" fillId="26" borderId="15" xfId="0" applyFont="1" applyFill="1" applyBorder="1" applyAlignment="1">
      <alignment horizontal="center" vertical="center" wrapText="1"/>
    </xf>
    <xf numFmtId="0" fontId="48" fillId="27" borderId="15" xfId="0" applyFont="1" applyFill="1" applyBorder="1" applyAlignment="1">
      <alignment horizontal="center" vertical="center" wrapText="1"/>
    </xf>
    <xf numFmtId="0" fontId="47" fillId="28" borderId="15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22" fillId="11" borderId="1" xfId="0" applyFont="1" applyFill="1" applyBorder="1"/>
    <xf numFmtId="0" fontId="49" fillId="0" borderId="7" xfId="0" applyFont="1" applyBorder="1"/>
    <xf numFmtId="0" fontId="50" fillId="0" borderId="3" xfId="0" applyFont="1" applyBorder="1" applyAlignment="1">
      <alignment horizontal="center" vertical="center"/>
    </xf>
    <xf numFmtId="2" fontId="36" fillId="29" borderId="1" xfId="0" applyNumberFormat="1" applyFont="1" applyFill="1" applyBorder="1" applyAlignment="1">
      <alignment horizontal="center" vertical="center" wrapText="1"/>
    </xf>
    <xf numFmtId="2" fontId="18" fillId="29" borderId="1" xfId="0" applyNumberFormat="1" applyFont="1" applyFill="1" applyBorder="1" applyAlignment="1">
      <alignment horizontal="center" vertical="center" wrapText="1"/>
    </xf>
    <xf numFmtId="9" fontId="29" fillId="5" borderId="1" xfId="0" applyNumberFormat="1" applyFont="1" applyFill="1" applyBorder="1" applyAlignment="1">
      <alignment horizontal="center" vertical="center" wrapText="1"/>
    </xf>
    <xf numFmtId="9" fontId="29" fillId="11" borderId="1" xfId="0" applyNumberFormat="1" applyFont="1" applyFill="1" applyBorder="1" applyAlignment="1">
      <alignment horizontal="center" vertical="center" wrapText="1"/>
    </xf>
    <xf numFmtId="0" fontId="51" fillId="0" borderId="0" xfId="0" applyFont="1"/>
    <xf numFmtId="0" fontId="52" fillId="0" borderId="0" xfId="0" applyFont="1"/>
    <xf numFmtId="166" fontId="7" fillId="0" borderId="0" xfId="0" applyNumberFormat="1" applyFont="1" applyAlignment="1">
      <alignment horizontal="center" vertical="center"/>
    </xf>
    <xf numFmtId="0" fontId="46" fillId="32" borderId="0" xfId="0" applyFont="1" applyFill="1"/>
    <xf numFmtId="0" fontId="57" fillId="0" borderId="0" xfId="0" applyFont="1"/>
    <xf numFmtId="0" fontId="58" fillId="33" borderId="0" xfId="0" applyFont="1" applyFill="1"/>
    <xf numFmtId="2" fontId="58" fillId="33" borderId="0" xfId="0" applyNumberFormat="1" applyFont="1" applyFill="1"/>
    <xf numFmtId="2" fontId="46" fillId="32" borderId="0" xfId="0" applyNumberFormat="1" applyFont="1" applyFill="1"/>
    <xf numFmtId="0" fontId="59" fillId="34" borderId="0" xfId="0" applyFont="1" applyFill="1" applyAlignment="1">
      <alignment horizontal="center"/>
    </xf>
    <xf numFmtId="0" fontId="59" fillId="35" borderId="0" xfId="0" applyFont="1" applyFill="1" applyAlignment="1">
      <alignment horizontal="center"/>
    </xf>
    <xf numFmtId="0" fontId="59" fillId="36" borderId="0" xfId="0" applyFont="1" applyFill="1" applyAlignment="1">
      <alignment horizontal="center"/>
    </xf>
    <xf numFmtId="0" fontId="59" fillId="37" borderId="0" xfId="0" applyFont="1" applyFill="1" applyAlignment="1">
      <alignment horizontal="center"/>
    </xf>
    <xf numFmtId="0" fontId="59" fillId="30" borderId="0" xfId="0" applyFont="1" applyFill="1" applyAlignment="1">
      <alignment horizontal="center"/>
    </xf>
    <xf numFmtId="0" fontId="53" fillId="32" borderId="0" xfId="0" applyFont="1" applyFill="1"/>
    <xf numFmtId="2" fontId="0" fillId="32" borderId="0" xfId="0" applyNumberFormat="1" applyFill="1"/>
    <xf numFmtId="167" fontId="0" fillId="32" borderId="0" xfId="0" applyNumberFormat="1" applyFill="1"/>
    <xf numFmtId="10" fontId="18" fillId="32" borderId="1" xfId="0" applyNumberFormat="1" applyFont="1" applyFill="1" applyBorder="1" applyAlignment="1">
      <alignment horizontal="center" vertical="center" wrapText="1"/>
    </xf>
    <xf numFmtId="167" fontId="46" fillId="32" borderId="0" xfId="0" applyNumberFormat="1" applyFont="1" applyFill="1"/>
    <xf numFmtId="0" fontId="0" fillId="32" borderId="0" xfId="0" applyFill="1"/>
    <xf numFmtId="0" fontId="46" fillId="38" borderId="0" xfId="0" applyFont="1" applyFill="1"/>
    <xf numFmtId="0" fontId="60" fillId="39" borderId="0" xfId="0" applyFont="1" applyFill="1" applyAlignment="1">
      <alignment horizontal="center"/>
    </xf>
    <xf numFmtId="168" fontId="38" fillId="0" borderId="1" xfId="0" applyNumberFormat="1" applyFont="1" applyBorder="1" applyAlignment="1">
      <alignment horizontal="center" vertical="center" wrapText="1"/>
    </xf>
    <xf numFmtId="168" fontId="36" fillId="17" borderId="1" xfId="0" applyNumberFormat="1" applyFont="1" applyFill="1" applyBorder="1" applyAlignment="1">
      <alignment horizontal="center" vertical="center" wrapText="1"/>
    </xf>
    <xf numFmtId="17" fontId="36" fillId="17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0" fillId="0" borderId="6" xfId="0" applyBorder="1"/>
    <xf numFmtId="0" fontId="0" fillId="0" borderId="7" xfId="0" applyBorder="1"/>
    <xf numFmtId="0" fontId="16" fillId="5" borderId="1" xfId="0" applyFont="1" applyFill="1" applyBorder="1" applyAlignment="1">
      <alignment horizontal="left" vertical="center" wrapText="1"/>
    </xf>
    <xf numFmtId="10" fontId="24" fillId="11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9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10" fontId="17" fillId="5" borderId="1" xfId="0" applyNumberFormat="1" applyFont="1" applyFill="1" applyBorder="1" applyAlignment="1">
      <alignment horizontal="center" vertical="center" wrapText="1"/>
    </xf>
    <xf numFmtId="10" fontId="8" fillId="5" borderId="7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6" fillId="11" borderId="1" xfId="0" applyFont="1" applyFill="1" applyBorder="1" applyAlignment="1">
      <alignment horizontal="left" vertical="center" wrapText="1"/>
    </xf>
    <xf numFmtId="10" fontId="6" fillId="0" borderId="1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0" xfId="0"/>
    <xf numFmtId="0" fontId="0" fillId="0" borderId="9" xfId="0" applyBorder="1"/>
    <xf numFmtId="0" fontId="16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6" fillId="15" borderId="1" xfId="0" applyFont="1" applyFill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top" wrapText="1"/>
    </xf>
    <xf numFmtId="1" fontId="18" fillId="12" borderId="1" xfId="0" applyNumberFormat="1" applyFont="1" applyFill="1" applyBorder="1" applyAlignment="1">
      <alignment horizontal="center" vertical="center" wrapText="1"/>
    </xf>
    <xf numFmtId="164" fontId="17" fillId="5" borderId="1" xfId="0" applyNumberFormat="1" applyFont="1" applyFill="1" applyBorder="1" applyAlignment="1">
      <alignment horizontal="center" vertical="center" wrapText="1"/>
    </xf>
    <xf numFmtId="1" fontId="18" fillId="14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left" vertical="top" wrapText="1"/>
    </xf>
    <xf numFmtId="0" fontId="16" fillId="11" borderId="1" xfId="0" applyFont="1" applyFill="1" applyBorder="1" applyAlignment="1">
      <alignment horizontal="center" vertical="center" wrapText="1"/>
    </xf>
    <xf numFmtId="10" fontId="24" fillId="5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" fontId="23" fillId="5" borderId="1" xfId="0" applyNumberFormat="1" applyFont="1" applyFill="1" applyBorder="1" applyAlignment="1">
      <alignment horizontal="center" vertical="center" wrapText="1"/>
    </xf>
    <xf numFmtId="14" fontId="24" fillId="5" borderId="1" xfId="0" applyNumberFormat="1" applyFont="1" applyFill="1" applyBorder="1" applyAlignment="1">
      <alignment horizontal="center" vertical="center" wrapText="1"/>
    </xf>
    <xf numFmtId="2" fontId="24" fillId="5" borderId="1" xfId="0" applyNumberFormat="1" applyFont="1" applyFill="1" applyBorder="1" applyAlignment="1">
      <alignment horizontal="center" vertical="center" wrapText="1"/>
    </xf>
    <xf numFmtId="2" fontId="15" fillId="5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5" fontId="15" fillId="5" borderId="1" xfId="0" applyNumberFormat="1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1" fontId="18" fillId="13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5" fillId="5" borderId="1" xfId="0" applyFont="1" applyFill="1" applyBorder="1" applyAlignment="1">
      <alignment horizontal="left" vertical="top" wrapText="1"/>
    </xf>
    <xf numFmtId="1" fontId="18" fillId="11" borderId="1" xfId="0" applyNumberFormat="1" applyFont="1" applyFill="1" applyBorder="1" applyAlignment="1">
      <alignment horizontal="center" vertical="center" wrapText="1"/>
    </xf>
    <xf numFmtId="1" fontId="18" fillId="9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56" fillId="31" borderId="0" xfId="0" applyFont="1" applyFill="1"/>
    <xf numFmtId="0" fontId="54" fillId="30" borderId="0" xfId="0" applyFont="1" applyFill="1" applyAlignment="1">
      <alignment vertical="center"/>
    </xf>
    <xf numFmtId="0" fontId="55" fillId="0" borderId="0" xfId="0" applyFont="1"/>
    <xf numFmtId="0" fontId="57" fillId="0" borderId="0" xfId="0" applyFont="1"/>
    <xf numFmtId="0" fontId="46" fillId="0" borderId="0" xfId="0" applyFont="1"/>
    <xf numFmtId="0" fontId="54" fillId="30" borderId="0" xfId="0" applyFont="1" applyFill="1"/>
    <xf numFmtId="0" fontId="46" fillId="32" borderId="0" xfId="0" applyFont="1" applyFill="1"/>
    <xf numFmtId="0" fontId="46" fillId="40" borderId="0" xfId="0" applyFont="1" applyFill="1"/>
    <xf numFmtId="0" fontId="32" fillId="0" borderId="0" xfId="0" applyFont="1"/>
    <xf numFmtId="0" fontId="7" fillId="11" borderId="2" xfId="0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top" wrapText="1"/>
    </xf>
    <xf numFmtId="0" fontId="16" fillId="11" borderId="2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16" fillId="5" borderId="2" xfId="0" applyFont="1" applyFill="1" applyBorder="1" applyAlignment="1">
      <alignment horizontal="left" vertical="top" wrapText="1"/>
    </xf>
    <xf numFmtId="0" fontId="44" fillId="0" borderId="0" xfId="0" applyFont="1"/>
    <xf numFmtId="0" fontId="7" fillId="0" borderId="2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4" borderId="0" xfId="0" applyFont="1" applyFill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0" fillId="0" borderId="13" xfId="0" applyBorder="1"/>
    <xf numFmtId="0" fontId="0" fillId="0" borderId="14" xfId="0" applyBorder="1"/>
    <xf numFmtId="0" fontId="34" fillId="0" borderId="0" xfId="0" applyFont="1"/>
    <xf numFmtId="0" fontId="44" fillId="0" borderId="0" xfId="0" applyFont="1" applyAlignment="1">
      <alignment horizontal="left" vertical="top" wrapText="1"/>
    </xf>
    <xf numFmtId="0" fontId="27" fillId="0" borderId="0" xfId="0" applyFont="1"/>
    <xf numFmtId="0" fontId="30" fillId="0" borderId="0" xfId="0" applyFont="1"/>
    <xf numFmtId="0" fontId="31" fillId="0" borderId="0" xfId="0" applyFont="1"/>
    <xf numFmtId="0" fontId="30" fillId="0" borderId="0" xfId="0" applyFont="1" applyAlignment="1">
      <alignment vertical="top" wrapText="1"/>
    </xf>
    <xf numFmtId="0" fontId="37" fillId="2" borderId="0" xfId="0" applyFont="1" applyFill="1" applyAlignment="1">
      <alignment horizontal="left" vertical="center" wrapText="1"/>
    </xf>
    <xf numFmtId="0" fontId="26" fillId="0" borderId="0" xfId="0" applyFont="1"/>
    <xf numFmtId="0" fontId="7" fillId="0" borderId="1" xfId="0" applyFont="1" applyBorder="1" applyAlignment="1">
      <alignment horizontal="left" vertical="top" wrapText="1"/>
    </xf>
    <xf numFmtId="0" fontId="39" fillId="3" borderId="0" xfId="0" applyFont="1" applyFill="1"/>
    <xf numFmtId="0" fontId="32" fillId="0" borderId="0" xfId="0" applyFont="1" applyAlignment="1">
      <alignment horizontal="left" vertical="top" wrapText="1"/>
    </xf>
  </cellXfs>
  <cellStyles count="1">
    <cellStyle name="Normal" xfId="0" builtinId="0"/>
  </cellStyles>
  <dxfs count="12">
    <dxf>
      <font>
        <b/>
        <color rgb="FFFFFFFF"/>
      </font>
      <fill>
        <patternFill>
          <bgColor rgb="FFE06666"/>
        </patternFill>
      </fill>
    </dxf>
    <dxf>
      <font>
        <b/>
        <color rgb="FF1B2430"/>
      </font>
      <fill>
        <patternFill>
          <bgColor rgb="FFFFD966"/>
        </patternFill>
      </fill>
    </dxf>
    <dxf>
      <fill>
        <patternFill>
          <bgColor rgb="FFF1A9A0"/>
        </patternFill>
      </fill>
    </dxf>
    <dxf>
      <fill>
        <patternFill>
          <bgColor rgb="FFF5B27A"/>
        </patternFill>
      </fill>
    </dxf>
    <dxf>
      <fill>
        <patternFill>
          <bgColor rgb="FFFCE29B"/>
        </patternFill>
      </fill>
    </dxf>
    <dxf>
      <fill>
        <patternFill>
          <bgColor rgb="FFC9E4A6"/>
        </patternFill>
      </fill>
    </dxf>
    <dxf>
      <fill>
        <patternFill>
          <bgColor rgb="FFA9D18E"/>
        </patternFill>
      </fill>
    </dxf>
    <dxf>
      <font>
        <b/>
        <color rgb="FFFFFFFF"/>
      </font>
      <fill>
        <patternFill>
          <bgColor rgb="FF538135"/>
        </patternFill>
      </fill>
    </dxf>
    <dxf>
      <fill>
        <patternFill>
          <bgColor rgb="FFF1A9A0"/>
        </patternFill>
      </fill>
    </dxf>
    <dxf>
      <fill>
        <patternFill>
          <bgColor rgb="FFF5B27A"/>
        </patternFill>
      </fill>
    </dxf>
    <dxf>
      <fill>
        <patternFill>
          <bgColor rgb="FFFCE29B"/>
        </patternFill>
      </fill>
    </dxf>
    <dxf>
      <fill>
        <patternFill>
          <bgColor rgb="FFA9D18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55606E"/>
      <rgbColor rgb="FF800080"/>
      <rgbColor rgb="FF008080"/>
      <rgbColor rgb="FFB9C2CE"/>
      <rgbColor rgb="FF7C8CA6"/>
      <rgbColor rgb="FF9999FF"/>
      <rgbColor rgb="FF475269"/>
      <rgbColor rgb="FFF2F4F7"/>
      <rgbColor rgb="FFFFE3CC"/>
      <rgbColor rgb="FF660066"/>
      <rgbColor rgb="FFE06666"/>
      <rgbColor rgb="FF0066CC"/>
      <rgbColor rgb="FFD5DB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9E4A6"/>
      <rgbColor rgb="FFFFF2A0"/>
      <rgbColor rgb="FFA9D18E"/>
      <rgbColor rgb="FFF1A9A0"/>
      <rgbColor rgb="FFF4B183"/>
      <rgbColor rgb="FFFCE29B"/>
      <rgbColor rgb="FF3366FF"/>
      <rgbColor rgb="FF33CCCC"/>
      <rgbColor rgb="FF99CC00"/>
      <rgbColor rgb="FFF2C230"/>
      <rgbColor rgb="FFF5B27A"/>
      <rgbColor rgb="FFFF6A13"/>
      <rgbColor rgb="FF5B6B84"/>
      <rgbColor rgb="FF969696"/>
      <rgbColor rgb="FF12294D"/>
      <rgbColor rgb="FF538135"/>
      <rgbColor rgb="FF0C2038"/>
      <rgbColor rgb="FF0B1F3A"/>
      <rgbColor rgb="FFC0392B"/>
      <rgbColor rgb="FF993366"/>
      <rgbColor rgb="FF1B3A63"/>
      <rgbColor rgb="FF1B24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workbookViewId="0">
      <selection activeCell="B8" sqref="B8"/>
    </sheetView>
  </sheetViews>
  <sheetFormatPr defaultRowHeight="14.25" x14ac:dyDescent="0.45"/>
  <cols>
    <col min="1" max="1" width="38" customWidth="1"/>
    <col min="2" max="2" width="28" customWidth="1"/>
    <col min="3" max="3" width="50" customWidth="1"/>
  </cols>
  <sheetData>
    <row r="1" spans="1:3" ht="18" customHeight="1" x14ac:dyDescent="0.45">
      <c r="A1" s="185" t="s">
        <v>53</v>
      </c>
      <c r="B1" s="155"/>
      <c r="C1" s="155"/>
    </row>
    <row r="2" spans="1:3" x14ac:dyDescent="0.45">
      <c r="A2" s="186" t="s">
        <v>54</v>
      </c>
      <c r="B2" s="155"/>
      <c r="C2" s="155"/>
    </row>
    <row r="4" spans="1:3" ht="15.75" customHeight="1" x14ac:dyDescent="0.5">
      <c r="A4" s="184" t="s">
        <v>55</v>
      </c>
      <c r="B4" s="155"/>
      <c r="C4" s="155"/>
    </row>
    <row r="5" spans="1:3" x14ac:dyDescent="0.45">
      <c r="A5" s="114" t="s">
        <v>41</v>
      </c>
      <c r="B5" s="114" t="s">
        <v>56</v>
      </c>
      <c r="C5" s="114" t="s">
        <v>57</v>
      </c>
    </row>
    <row r="6" spans="1:3" x14ac:dyDescent="0.45">
      <c r="A6" s="115" t="s">
        <v>58</v>
      </c>
      <c r="B6" s="116" t="s">
        <v>59</v>
      </c>
      <c r="C6" s="115" t="s">
        <v>60</v>
      </c>
    </row>
    <row r="7" spans="1:3" x14ac:dyDescent="0.45">
      <c r="A7" s="115" t="s">
        <v>61</v>
      </c>
      <c r="B7" s="116" t="s">
        <v>62</v>
      </c>
      <c r="C7" s="115" t="s">
        <v>63</v>
      </c>
    </row>
    <row r="8" spans="1:3" x14ac:dyDescent="0.45">
      <c r="A8" s="115" t="s">
        <v>64</v>
      </c>
      <c r="B8" s="116" t="s">
        <v>65</v>
      </c>
      <c r="C8" s="115" t="s">
        <v>66</v>
      </c>
    </row>
    <row r="10" spans="1:3" ht="15.75" customHeight="1" x14ac:dyDescent="0.5">
      <c r="A10" s="184" t="s">
        <v>67</v>
      </c>
      <c r="B10" s="155"/>
      <c r="C10" s="155"/>
    </row>
    <row r="11" spans="1:3" x14ac:dyDescent="0.45">
      <c r="A11" s="114" t="s">
        <v>68</v>
      </c>
      <c r="B11" s="114" t="s">
        <v>69</v>
      </c>
      <c r="C11" s="114" t="s">
        <v>57</v>
      </c>
    </row>
    <row r="12" spans="1:3" x14ac:dyDescent="0.45">
      <c r="A12" s="115" t="s">
        <v>70</v>
      </c>
      <c r="B12" s="117">
        <v>0.2</v>
      </c>
      <c r="C12" s="115" t="s">
        <v>71</v>
      </c>
    </row>
    <row r="13" spans="1:3" x14ac:dyDescent="0.45">
      <c r="A13" s="115" t="s">
        <v>72</v>
      </c>
      <c r="B13" s="117">
        <v>0.2</v>
      </c>
      <c r="C13" s="115" t="s">
        <v>73</v>
      </c>
    </row>
    <row r="14" spans="1:3" x14ac:dyDescent="0.45">
      <c r="A14" s="115" t="s">
        <v>74</v>
      </c>
      <c r="B14" s="117">
        <v>0.2</v>
      </c>
      <c r="C14" s="115" t="s">
        <v>75</v>
      </c>
    </row>
    <row r="15" spans="1:3" x14ac:dyDescent="0.45">
      <c r="A15" s="115" t="s">
        <v>76</v>
      </c>
      <c r="B15" s="117">
        <v>0.2</v>
      </c>
      <c r="C15" s="115" t="s">
        <v>77</v>
      </c>
    </row>
    <row r="16" spans="1:3" x14ac:dyDescent="0.45">
      <c r="A16" s="115" t="s">
        <v>78</v>
      </c>
      <c r="B16" s="117">
        <v>0.2</v>
      </c>
      <c r="C16" s="115" t="s">
        <v>79</v>
      </c>
    </row>
    <row r="17" spans="1:3" x14ac:dyDescent="0.45">
      <c r="A17" s="114" t="s">
        <v>80</v>
      </c>
      <c r="B17" s="118">
        <f>SUM(B12:B16)</f>
        <v>1</v>
      </c>
      <c r="C17" s="114" t="s">
        <v>81</v>
      </c>
    </row>
    <row r="19" spans="1:3" ht="15.75" customHeight="1" x14ac:dyDescent="0.5">
      <c r="A19" s="184" t="s">
        <v>82</v>
      </c>
      <c r="B19" s="155"/>
      <c r="C19" s="155"/>
    </row>
    <row r="20" spans="1:3" x14ac:dyDescent="0.45">
      <c r="A20" s="114" t="s">
        <v>83</v>
      </c>
      <c r="B20" s="114" t="s">
        <v>69</v>
      </c>
      <c r="C20" s="114" t="s">
        <v>57</v>
      </c>
    </row>
    <row r="21" spans="1:3" x14ac:dyDescent="0.45">
      <c r="A21" s="115" t="s">
        <v>84</v>
      </c>
      <c r="B21" s="117">
        <v>0.4</v>
      </c>
      <c r="C21" s="115" t="s">
        <v>85</v>
      </c>
    </row>
    <row r="22" spans="1:3" x14ac:dyDescent="0.45">
      <c r="A22" s="115" t="s">
        <v>86</v>
      </c>
      <c r="B22" s="117">
        <v>0.4</v>
      </c>
      <c r="C22" s="115" t="s">
        <v>87</v>
      </c>
    </row>
    <row r="23" spans="1:3" x14ac:dyDescent="0.45">
      <c r="A23" s="115" t="s">
        <v>88</v>
      </c>
      <c r="B23" s="117">
        <v>0.2</v>
      </c>
      <c r="C23" s="115" t="s">
        <v>89</v>
      </c>
    </row>
    <row r="24" spans="1:3" x14ac:dyDescent="0.45">
      <c r="A24" s="114" t="s">
        <v>80</v>
      </c>
      <c r="B24" s="118">
        <f>SUM(B21:B23)</f>
        <v>1</v>
      </c>
    </row>
    <row r="26" spans="1:3" ht="15.75" customHeight="1" x14ac:dyDescent="0.5">
      <c r="A26" s="184" t="s">
        <v>90</v>
      </c>
      <c r="B26" s="155"/>
      <c r="C26" s="155"/>
    </row>
    <row r="27" spans="1:3" x14ac:dyDescent="0.45">
      <c r="A27" s="114" t="s">
        <v>41</v>
      </c>
      <c r="B27" s="114" t="s">
        <v>56</v>
      </c>
      <c r="C27" s="114" t="s">
        <v>57</v>
      </c>
    </row>
    <row r="28" spans="1:3" x14ac:dyDescent="0.45">
      <c r="A28" s="115" t="s">
        <v>91</v>
      </c>
      <c r="B28" s="116">
        <v>5</v>
      </c>
      <c r="C28" s="115" t="s">
        <v>92</v>
      </c>
    </row>
    <row r="29" spans="1:3" x14ac:dyDescent="0.45">
      <c r="A29" s="115" t="s">
        <v>93</v>
      </c>
      <c r="B29" s="116">
        <v>10</v>
      </c>
      <c r="C29" s="115" t="s">
        <v>94</v>
      </c>
    </row>
    <row r="31" spans="1:3" ht="15.75" customHeight="1" x14ac:dyDescent="0.5">
      <c r="A31" s="184" t="s">
        <v>95</v>
      </c>
      <c r="B31" s="155"/>
      <c r="C31" s="155"/>
    </row>
    <row r="32" spans="1:3" x14ac:dyDescent="0.45">
      <c r="A32" s="114" t="s">
        <v>96</v>
      </c>
      <c r="B32" s="114" t="s">
        <v>97</v>
      </c>
      <c r="C32" s="114" t="s">
        <v>98</v>
      </c>
    </row>
    <row r="33" spans="1:3" x14ac:dyDescent="0.45">
      <c r="A33" s="115" t="s">
        <v>99</v>
      </c>
      <c r="B33" s="116" t="s">
        <v>100</v>
      </c>
      <c r="C33" s="119" t="s">
        <v>98</v>
      </c>
    </row>
    <row r="34" spans="1:3" x14ac:dyDescent="0.45">
      <c r="A34" s="115" t="s">
        <v>101</v>
      </c>
      <c r="B34" s="116" t="s">
        <v>102</v>
      </c>
      <c r="C34" s="120" t="s">
        <v>98</v>
      </c>
    </row>
    <row r="35" spans="1:3" x14ac:dyDescent="0.45">
      <c r="A35" s="115" t="s">
        <v>103</v>
      </c>
      <c r="B35" s="116" t="s">
        <v>104</v>
      </c>
      <c r="C35" s="121" t="s">
        <v>98</v>
      </c>
    </row>
    <row r="36" spans="1:3" x14ac:dyDescent="0.45">
      <c r="A36" s="115" t="s">
        <v>105</v>
      </c>
      <c r="B36" s="116" t="s">
        <v>106</v>
      </c>
      <c r="C36" s="122" t="s">
        <v>98</v>
      </c>
    </row>
    <row r="37" spans="1:3" x14ac:dyDescent="0.45">
      <c r="A37" s="115" t="s">
        <v>107</v>
      </c>
      <c r="B37" s="116" t="s">
        <v>108</v>
      </c>
      <c r="C37" s="123" t="s">
        <v>98</v>
      </c>
    </row>
  </sheetData>
  <mergeCells count="7">
    <mergeCell ref="A10:C10"/>
    <mergeCell ref="A19:C19"/>
    <mergeCell ref="A1:C1"/>
    <mergeCell ref="A31:C31"/>
    <mergeCell ref="A4:C4"/>
    <mergeCell ref="A26:C26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>
      <selection activeCell="A44" sqref="A44:H44"/>
    </sheetView>
  </sheetViews>
  <sheetFormatPr defaultRowHeight="14.25" x14ac:dyDescent="0.45"/>
  <cols>
    <col min="1" max="1" width="22" customWidth="1"/>
    <col min="2" max="8" width="14" customWidth="1"/>
  </cols>
  <sheetData>
    <row r="1" spans="1:8" ht="18" customHeight="1" x14ac:dyDescent="0.55000000000000004">
      <c r="A1" s="189" t="s">
        <v>109</v>
      </c>
      <c r="B1" s="155"/>
      <c r="C1" s="155"/>
      <c r="D1" s="155"/>
      <c r="E1" s="155"/>
      <c r="F1" s="155"/>
      <c r="G1" s="155"/>
      <c r="H1" s="155"/>
    </row>
    <row r="2" spans="1:8" x14ac:dyDescent="0.45">
      <c r="A2" s="186" t="s">
        <v>110</v>
      </c>
      <c r="B2" s="155"/>
      <c r="C2" s="155"/>
      <c r="D2" s="155"/>
      <c r="E2" s="155"/>
      <c r="F2" s="155"/>
      <c r="G2" s="155"/>
      <c r="H2" s="155"/>
    </row>
    <row r="4" spans="1:8" ht="15.75" customHeight="1" x14ac:dyDescent="0.5">
      <c r="A4" s="184" t="s">
        <v>111</v>
      </c>
      <c r="B4" s="155"/>
      <c r="C4" s="155"/>
      <c r="D4" s="155"/>
      <c r="E4" s="155"/>
      <c r="F4" s="155"/>
      <c r="G4" s="155"/>
      <c r="H4" s="155"/>
    </row>
    <row r="5" spans="1:8" x14ac:dyDescent="0.45">
      <c r="A5" s="187" t="s">
        <v>112</v>
      </c>
      <c r="B5" s="155"/>
      <c r="C5" s="155"/>
      <c r="D5" s="155"/>
      <c r="E5" s="155"/>
      <c r="F5" s="155"/>
      <c r="G5" s="155"/>
      <c r="H5" s="155"/>
    </row>
    <row r="6" spans="1:8" x14ac:dyDescent="0.45">
      <c r="A6" s="187" t="s">
        <v>113</v>
      </c>
      <c r="B6" s="155"/>
      <c r="C6" s="155"/>
      <c r="D6" s="155"/>
      <c r="E6" s="155"/>
      <c r="F6" s="155"/>
      <c r="G6" s="155"/>
      <c r="H6" s="155"/>
    </row>
    <row r="7" spans="1:8" x14ac:dyDescent="0.45">
      <c r="A7" s="187" t="s">
        <v>114</v>
      </c>
      <c r="B7" s="155"/>
      <c r="C7" s="155"/>
      <c r="D7" s="155"/>
      <c r="E7" s="155"/>
      <c r="F7" s="155"/>
      <c r="G7" s="155"/>
      <c r="H7" s="155"/>
    </row>
    <row r="8" spans="1:8" x14ac:dyDescent="0.45">
      <c r="A8" s="187" t="s">
        <v>115</v>
      </c>
      <c r="B8" s="155"/>
      <c r="C8" s="155"/>
      <c r="D8" s="155"/>
      <c r="E8" s="155"/>
      <c r="F8" s="155"/>
      <c r="G8" s="155"/>
      <c r="H8" s="155"/>
    </row>
    <row r="9" spans="1:8" x14ac:dyDescent="0.45">
      <c r="A9" s="187" t="s">
        <v>116</v>
      </c>
      <c r="B9" s="155"/>
      <c r="C9" s="155"/>
      <c r="D9" s="155"/>
      <c r="E9" s="155"/>
      <c r="F9" s="155"/>
      <c r="G9" s="155"/>
      <c r="H9" s="155"/>
    </row>
    <row r="10" spans="1:8" x14ac:dyDescent="0.45">
      <c r="A10" s="187" t="s">
        <v>117</v>
      </c>
      <c r="B10" s="155"/>
      <c r="C10" s="155"/>
      <c r="D10" s="155"/>
      <c r="E10" s="155"/>
      <c r="F10" s="155"/>
      <c r="G10" s="155"/>
      <c r="H10" s="155"/>
    </row>
    <row r="12" spans="1:8" ht="15.75" customHeight="1" x14ac:dyDescent="0.5">
      <c r="A12" s="184" t="s">
        <v>118</v>
      </c>
      <c r="B12" s="155"/>
      <c r="C12" s="155"/>
      <c r="D12" s="155"/>
      <c r="E12" s="155"/>
      <c r="F12" s="155"/>
      <c r="G12" s="155"/>
      <c r="H12" s="155"/>
    </row>
    <row r="13" spans="1:8" x14ac:dyDescent="0.45">
      <c r="A13" s="190" t="s">
        <v>119</v>
      </c>
      <c r="B13" s="155"/>
      <c r="C13" s="190" t="s">
        <v>120</v>
      </c>
      <c r="D13" s="155"/>
      <c r="E13" s="155"/>
      <c r="F13" s="190" t="s">
        <v>121</v>
      </c>
      <c r="G13" s="155"/>
      <c r="H13" s="155"/>
    </row>
    <row r="14" spans="1:8" x14ac:dyDescent="0.45">
      <c r="A14" s="188" t="s">
        <v>122</v>
      </c>
      <c r="B14" s="155"/>
      <c r="C14" s="187" t="s">
        <v>123</v>
      </c>
      <c r="D14" s="155"/>
      <c r="E14" s="155"/>
      <c r="F14" s="187" t="s">
        <v>124</v>
      </c>
      <c r="G14" s="155"/>
      <c r="H14" s="155"/>
    </row>
    <row r="15" spans="1:8" x14ac:dyDescent="0.45">
      <c r="A15" s="188" t="s">
        <v>125</v>
      </c>
      <c r="B15" s="155"/>
      <c r="C15" s="187" t="s">
        <v>126</v>
      </c>
      <c r="D15" s="155"/>
      <c r="E15" s="155"/>
      <c r="F15" s="187" t="s">
        <v>127</v>
      </c>
      <c r="G15" s="155"/>
      <c r="H15" s="155"/>
    </row>
    <row r="16" spans="1:8" x14ac:dyDescent="0.45">
      <c r="A16" s="188" t="s">
        <v>128</v>
      </c>
      <c r="B16" s="155"/>
      <c r="C16" s="187" t="s">
        <v>129</v>
      </c>
      <c r="D16" s="155"/>
      <c r="E16" s="155"/>
      <c r="F16" s="187" t="s">
        <v>130</v>
      </c>
      <c r="G16" s="155"/>
      <c r="H16" s="155"/>
    </row>
    <row r="17" spans="1:8" x14ac:dyDescent="0.45">
      <c r="A17" s="188" t="s">
        <v>131</v>
      </c>
      <c r="B17" s="155"/>
      <c r="C17" s="187" t="s">
        <v>132</v>
      </c>
      <c r="D17" s="155"/>
      <c r="E17" s="155"/>
      <c r="F17" s="187" t="s">
        <v>133</v>
      </c>
      <c r="G17" s="155"/>
      <c r="H17" s="155"/>
    </row>
    <row r="18" spans="1:8" x14ac:dyDescent="0.45">
      <c r="A18" s="188" t="s">
        <v>134</v>
      </c>
      <c r="B18" s="155"/>
      <c r="C18" s="187" t="s">
        <v>135</v>
      </c>
      <c r="D18" s="155"/>
      <c r="E18" s="155"/>
      <c r="F18" s="187" t="s">
        <v>133</v>
      </c>
      <c r="G18" s="155"/>
      <c r="H18" s="155"/>
    </row>
    <row r="19" spans="1:8" x14ac:dyDescent="0.45">
      <c r="A19" s="188" t="s">
        <v>136</v>
      </c>
      <c r="B19" s="155"/>
      <c r="C19" s="187" t="s">
        <v>137</v>
      </c>
      <c r="D19" s="155"/>
      <c r="E19" s="155"/>
      <c r="F19" s="187" t="s">
        <v>138</v>
      </c>
      <c r="G19" s="155"/>
      <c r="H19" s="155"/>
    </row>
    <row r="21" spans="1:8" ht="15.75" customHeight="1" x14ac:dyDescent="0.5">
      <c r="A21" s="184" t="s">
        <v>139</v>
      </c>
      <c r="B21" s="155"/>
      <c r="C21" s="155"/>
      <c r="D21" s="155"/>
      <c r="E21" s="155"/>
      <c r="F21" s="155"/>
      <c r="G21" s="155"/>
      <c r="H21" s="155"/>
    </row>
    <row r="22" spans="1:8" x14ac:dyDescent="0.45">
      <c r="A22" s="116" t="s">
        <v>140</v>
      </c>
      <c r="B22" s="187" t="s">
        <v>141</v>
      </c>
      <c r="C22" s="155"/>
      <c r="D22" s="155"/>
      <c r="E22" s="155"/>
      <c r="F22" s="155"/>
      <c r="G22" s="155"/>
      <c r="H22" s="155"/>
    </row>
    <row r="23" spans="1:8" x14ac:dyDescent="0.45">
      <c r="A23" s="114" t="s">
        <v>142</v>
      </c>
      <c r="B23" s="187" t="s">
        <v>143</v>
      </c>
      <c r="C23" s="155"/>
      <c r="D23" s="155"/>
      <c r="E23" s="155"/>
      <c r="F23" s="155"/>
      <c r="G23" s="155"/>
      <c r="H23" s="155"/>
    </row>
    <row r="26" spans="1:8" ht="15.75" customHeight="1" x14ac:dyDescent="0.5">
      <c r="A26" s="184" t="s">
        <v>144</v>
      </c>
      <c r="B26" s="155"/>
      <c r="C26" s="155"/>
      <c r="D26" s="155"/>
      <c r="E26" s="155"/>
      <c r="F26" s="155"/>
      <c r="G26" s="155"/>
      <c r="H26" s="155"/>
    </row>
    <row r="27" spans="1:8" x14ac:dyDescent="0.45">
      <c r="A27" s="187" t="s">
        <v>145</v>
      </c>
      <c r="B27" s="155"/>
      <c r="C27" s="155"/>
      <c r="D27" s="155"/>
      <c r="E27" s="155"/>
      <c r="F27" s="155"/>
      <c r="G27" s="155"/>
      <c r="H27" s="155"/>
    </row>
    <row r="28" spans="1:8" x14ac:dyDescent="0.45">
      <c r="A28" s="187" t="s">
        <v>146</v>
      </c>
      <c r="B28" s="155"/>
      <c r="C28" s="155"/>
      <c r="D28" s="155"/>
      <c r="E28" s="155"/>
      <c r="F28" s="155"/>
      <c r="G28" s="155"/>
      <c r="H28" s="155"/>
    </row>
    <row r="29" spans="1:8" x14ac:dyDescent="0.45">
      <c r="A29" s="187" t="s">
        <v>147</v>
      </c>
      <c r="B29" s="155"/>
      <c r="C29" s="155"/>
      <c r="D29" s="155"/>
      <c r="E29" s="155"/>
      <c r="F29" s="155"/>
      <c r="G29" s="155"/>
      <c r="H29" s="155"/>
    </row>
    <row r="30" spans="1:8" x14ac:dyDescent="0.45">
      <c r="A30" s="187" t="s">
        <v>148</v>
      </c>
      <c r="B30" s="155"/>
      <c r="C30" s="155"/>
      <c r="D30" s="155"/>
      <c r="E30" s="155"/>
      <c r="F30" s="155"/>
      <c r="G30" s="155"/>
      <c r="H30" s="155"/>
    </row>
    <row r="31" spans="1:8" x14ac:dyDescent="0.45">
      <c r="A31" s="187" t="s">
        <v>149</v>
      </c>
      <c r="B31" s="155"/>
      <c r="C31" s="155"/>
      <c r="D31" s="155"/>
      <c r="E31" s="155"/>
      <c r="F31" s="155"/>
      <c r="G31" s="155"/>
      <c r="H31" s="155"/>
    </row>
    <row r="32" spans="1:8" x14ac:dyDescent="0.45">
      <c r="A32" s="187" t="s">
        <v>150</v>
      </c>
      <c r="B32" s="155"/>
      <c r="C32" s="155"/>
      <c r="D32" s="155"/>
      <c r="E32" s="155"/>
      <c r="F32" s="155"/>
      <c r="G32" s="155"/>
      <c r="H32" s="155"/>
    </row>
    <row r="34" spans="1:8" ht="15.75" customHeight="1" x14ac:dyDescent="0.5">
      <c r="A34" s="184" t="s">
        <v>151</v>
      </c>
      <c r="B34" s="155"/>
      <c r="C34" s="155"/>
      <c r="D34" s="155"/>
      <c r="E34" s="155"/>
      <c r="F34" s="155"/>
      <c r="G34" s="155"/>
      <c r="H34" s="155"/>
    </row>
    <row r="35" spans="1:8" x14ac:dyDescent="0.45">
      <c r="A35" s="187" t="s">
        <v>152</v>
      </c>
      <c r="B35" s="155"/>
      <c r="C35" s="155"/>
      <c r="D35" s="155"/>
      <c r="E35" s="155"/>
      <c r="F35" s="155"/>
      <c r="G35" s="155"/>
      <c r="H35" s="155"/>
    </row>
    <row r="36" spans="1:8" x14ac:dyDescent="0.45">
      <c r="A36" s="187" t="s">
        <v>153</v>
      </c>
      <c r="B36" s="155"/>
      <c r="C36" s="155"/>
      <c r="D36" s="155"/>
      <c r="E36" s="155"/>
      <c r="F36" s="155"/>
      <c r="G36" s="155"/>
      <c r="H36" s="155"/>
    </row>
    <row r="37" spans="1:8" x14ac:dyDescent="0.45">
      <c r="A37" s="187" t="s">
        <v>154</v>
      </c>
      <c r="B37" s="155"/>
      <c r="C37" s="155"/>
      <c r="D37" s="155"/>
      <c r="E37" s="155"/>
      <c r="F37" s="155"/>
      <c r="G37" s="155"/>
      <c r="H37" s="155"/>
    </row>
    <row r="38" spans="1:8" x14ac:dyDescent="0.45">
      <c r="A38" s="191" t="s">
        <v>155</v>
      </c>
      <c r="B38" s="155"/>
      <c r="C38" s="155"/>
      <c r="D38" s="155"/>
      <c r="E38" s="155"/>
      <c r="F38" s="155"/>
      <c r="G38" s="155"/>
      <c r="H38" s="155"/>
    </row>
    <row r="39" spans="1:8" x14ac:dyDescent="0.45">
      <c r="A39" s="187" t="s">
        <v>156</v>
      </c>
      <c r="B39" s="155"/>
      <c r="C39" s="155"/>
      <c r="D39" s="155"/>
      <c r="E39" s="155"/>
      <c r="F39" s="155"/>
      <c r="G39" s="155"/>
      <c r="H39" s="155"/>
    </row>
    <row r="40" spans="1:8" x14ac:dyDescent="0.45">
      <c r="A40" s="155" t="s">
        <v>157</v>
      </c>
      <c r="B40" s="155"/>
      <c r="C40" s="155"/>
      <c r="D40" s="155"/>
      <c r="E40" s="155"/>
      <c r="F40" s="155"/>
      <c r="G40" s="155"/>
      <c r="H40" s="155"/>
    </row>
    <row r="41" spans="1:8" x14ac:dyDescent="0.45">
      <c r="A41" s="155" t="s">
        <v>158</v>
      </c>
      <c r="B41" s="155"/>
      <c r="C41" s="155"/>
      <c r="D41" s="155"/>
      <c r="E41" s="155"/>
      <c r="F41" s="155"/>
      <c r="G41" s="155"/>
      <c r="H41" s="155"/>
    </row>
    <row r="42" spans="1:8" ht="15.75" customHeight="1" x14ac:dyDescent="0.5">
      <c r="A42" s="184" t="s">
        <v>159</v>
      </c>
      <c r="B42" s="155"/>
      <c r="C42" s="155"/>
      <c r="D42" s="155"/>
      <c r="E42" s="155"/>
      <c r="F42" s="155"/>
      <c r="G42" s="155"/>
      <c r="H42" s="155"/>
    </row>
    <row r="43" spans="1:8" x14ac:dyDescent="0.45">
      <c r="A43" s="187" t="s">
        <v>160</v>
      </c>
      <c r="B43" s="155"/>
      <c r="C43" s="155"/>
      <c r="D43" s="155"/>
      <c r="E43" s="155"/>
      <c r="F43" s="155"/>
      <c r="G43" s="155"/>
      <c r="H43" s="155"/>
    </row>
    <row r="44" spans="1:8" x14ac:dyDescent="0.45">
      <c r="A44" s="187" t="s">
        <v>161</v>
      </c>
      <c r="B44" s="155"/>
      <c r="C44" s="155"/>
      <c r="D44" s="155"/>
      <c r="E44" s="155"/>
      <c r="F44" s="155"/>
      <c r="G44" s="155"/>
      <c r="H44" s="155"/>
    </row>
    <row r="45" spans="1:8" x14ac:dyDescent="0.45">
      <c r="A45" s="187" t="s">
        <v>162</v>
      </c>
      <c r="B45" s="155"/>
      <c r="C45" s="155"/>
      <c r="D45" s="155"/>
      <c r="E45" s="155"/>
      <c r="F45" s="155"/>
      <c r="G45" s="155"/>
      <c r="H45" s="155"/>
    </row>
    <row r="46" spans="1:8" x14ac:dyDescent="0.45">
      <c r="A46" s="187" t="s">
        <v>163</v>
      </c>
      <c r="B46" s="155"/>
      <c r="C46" s="155"/>
      <c r="D46" s="155"/>
      <c r="E46" s="155"/>
      <c r="F46" s="155"/>
      <c r="G46" s="155"/>
      <c r="H46" s="155"/>
    </row>
    <row r="47" spans="1:8" x14ac:dyDescent="0.45">
      <c r="A47" s="187" t="s">
        <v>164</v>
      </c>
      <c r="B47" s="155"/>
      <c r="C47" s="155"/>
      <c r="D47" s="155"/>
      <c r="E47" s="155"/>
      <c r="F47" s="155"/>
      <c r="G47" s="155"/>
      <c r="H47" s="155"/>
    </row>
    <row r="48" spans="1:8" x14ac:dyDescent="0.45">
      <c r="A48" s="187" t="s">
        <v>165</v>
      </c>
      <c r="B48" s="155"/>
      <c r="C48" s="155"/>
      <c r="D48" s="155"/>
      <c r="E48" s="155"/>
      <c r="F48" s="155"/>
      <c r="G48" s="155"/>
      <c r="H48" s="155"/>
    </row>
  </sheetData>
  <mergeCells count="56">
    <mergeCell ref="C13:E13"/>
    <mergeCell ref="F14:H14"/>
    <mergeCell ref="A19:B19"/>
    <mergeCell ref="A44:H44"/>
    <mergeCell ref="F15:H15"/>
    <mergeCell ref="A31:H31"/>
    <mergeCell ref="A40:H40"/>
    <mergeCell ref="A42:H42"/>
    <mergeCell ref="C18:E18"/>
    <mergeCell ref="A35:H35"/>
    <mergeCell ref="A34:H34"/>
    <mergeCell ref="A43:H43"/>
    <mergeCell ref="A38:H38"/>
    <mergeCell ref="B22:H22"/>
    <mergeCell ref="A26:H26"/>
    <mergeCell ref="A28:H28"/>
    <mergeCell ref="A32:H32"/>
    <mergeCell ref="C15:E15"/>
    <mergeCell ref="B23:H23"/>
    <mergeCell ref="F16:H16"/>
    <mergeCell ref="F19:H19"/>
    <mergeCell ref="A29:H29"/>
    <mergeCell ref="A21:H21"/>
    <mergeCell ref="C19:E19"/>
    <mergeCell ref="A1:H1"/>
    <mergeCell ref="A6:H6"/>
    <mergeCell ref="A16:B16"/>
    <mergeCell ref="A7:H7"/>
    <mergeCell ref="F13:H13"/>
    <mergeCell ref="A12:H12"/>
    <mergeCell ref="A2:H2"/>
    <mergeCell ref="A5:H5"/>
    <mergeCell ref="A8:H8"/>
    <mergeCell ref="A4:H4"/>
    <mergeCell ref="A10:H10"/>
    <mergeCell ref="A9:H9"/>
    <mergeCell ref="C16:E16"/>
    <mergeCell ref="A13:B13"/>
    <mergeCell ref="A14:B14"/>
    <mergeCell ref="C14:E14"/>
    <mergeCell ref="A48:H48"/>
    <mergeCell ref="A30:H30"/>
    <mergeCell ref="A39:H39"/>
    <mergeCell ref="A15:B15"/>
    <mergeCell ref="F18:H18"/>
    <mergeCell ref="A36:H36"/>
    <mergeCell ref="F17:H17"/>
    <mergeCell ref="A45:H45"/>
    <mergeCell ref="A41:H41"/>
    <mergeCell ref="C17:E17"/>
    <mergeCell ref="A18:B18"/>
    <mergeCell ref="A46:H46"/>
    <mergeCell ref="A37:H37"/>
    <mergeCell ref="A27:H27"/>
    <mergeCell ref="A47:H47"/>
    <mergeCell ref="A17:B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A13"/>
    <pageSetUpPr fitToPage="1"/>
  </sheetPr>
  <dimension ref="B1:W37"/>
  <sheetViews>
    <sheetView showGridLines="0" tabSelected="1" zoomScaleNormal="100" workbookViewId="0">
      <pane xSplit="1" ySplit="4" topLeftCell="B5" activePane="bottomRight" state="frozen"/>
      <selection pane="topRight" activeCell="B1" sqref="B1"/>
      <selection pane="bottomLeft" activeCell="A19" sqref="A19"/>
      <selection pane="bottomRight" activeCell="G6" sqref="G6:J7"/>
    </sheetView>
  </sheetViews>
  <sheetFormatPr defaultColWidth="8.59765625" defaultRowHeight="14.25" x14ac:dyDescent="0.45"/>
  <cols>
    <col min="1" max="1" width="1.53125" customWidth="1"/>
    <col min="2" max="13" width="7.265625" customWidth="1"/>
    <col min="14" max="14" width="14.06640625" bestFit="1" customWidth="1"/>
    <col min="15" max="23" width="7.265625" customWidth="1"/>
  </cols>
  <sheetData>
    <row r="1" spans="2:23" ht="30" customHeight="1" x14ac:dyDescent="0.45">
      <c r="B1" s="167" t="s">
        <v>0</v>
      </c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7"/>
    </row>
    <row r="2" spans="2:23" ht="18" customHeight="1" x14ac:dyDescent="0.45">
      <c r="B2" s="177" t="str">
        <f ca="1">"Reporting Period: "&amp;TEXT(Input_Bulanan!D5, "mmmm yyyy")&amp;"   |   Status: "&amp;Input_Bulanan!F5&amp;"   |   Dicetak: "&amp;TEXT(TODAY(), "DD-MM-YYYY")</f>
        <v>Reporting Period: November 2026   |   Status: Final   |   Dicetak: 23-07-2026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</row>
    <row r="3" spans="2:23" ht="6" customHeight="1" x14ac:dyDescent="0.45"/>
    <row r="4" spans="2:23" ht="19.5" customHeight="1" x14ac:dyDescent="0.45">
      <c r="B4" s="135" t="s">
        <v>1</v>
      </c>
      <c r="C4" s="136"/>
      <c r="D4" s="136"/>
      <c r="E4" s="136"/>
      <c r="F4" s="136"/>
      <c r="G4" s="136"/>
      <c r="H4" s="136"/>
      <c r="I4" s="136"/>
      <c r="J4" s="136"/>
      <c r="K4" s="136"/>
      <c r="L4" s="137"/>
      <c r="M4" s="135" t="s">
        <v>2</v>
      </c>
      <c r="N4" s="136"/>
      <c r="O4" s="136"/>
      <c r="P4" s="136"/>
      <c r="Q4" s="136"/>
      <c r="R4" s="136"/>
      <c r="S4" s="136"/>
      <c r="T4" s="136"/>
      <c r="U4" s="136"/>
      <c r="V4" s="136"/>
      <c r="W4" s="137"/>
    </row>
    <row r="5" spans="2:23" ht="15.75" customHeight="1" x14ac:dyDescent="0.45">
      <c r="B5" s="151" t="s">
        <v>3</v>
      </c>
      <c r="C5" s="136"/>
      <c r="D5" s="136"/>
      <c r="E5" s="136"/>
      <c r="F5" s="137"/>
      <c r="G5" s="151" t="s">
        <v>4</v>
      </c>
      <c r="H5" s="136"/>
      <c r="I5" s="136"/>
      <c r="J5" s="136"/>
      <c r="K5" s="136"/>
      <c r="L5" s="137"/>
      <c r="M5" s="151" t="s">
        <v>5</v>
      </c>
      <c r="N5" s="136"/>
      <c r="O5" s="136"/>
      <c r="P5" s="136"/>
      <c r="Q5" s="137"/>
      <c r="R5" s="179" t="s">
        <v>6</v>
      </c>
      <c r="S5" s="136"/>
      <c r="T5" s="136"/>
      <c r="U5" s="136"/>
      <c r="V5" s="136"/>
      <c r="W5" s="137"/>
    </row>
    <row r="6" spans="2:23" ht="15.75" customHeight="1" x14ac:dyDescent="0.45">
      <c r="B6" s="153">
        <f>((IF(Input_Bulanan!D12&gt;=1,100,Input_Bulanan!D12*100)*0.2)+(IF(Input_Bulanan!D14&gt;=1,100,Input_Bulanan!D14*100)*0.2)+(Input_Bulanan!D24*100*0.2)+(Input_Bulanan!D32*100*0.2)+(Input_Bulanan!D42*100*0.2))/100</f>
        <v>0.83860000000000012</v>
      </c>
      <c r="C6" s="141"/>
      <c r="D6" s="141"/>
      <c r="E6" s="141"/>
      <c r="F6" s="142"/>
      <c r="G6" s="173" t="s">
        <v>7</v>
      </c>
      <c r="H6" s="141"/>
      <c r="I6" s="141"/>
      <c r="J6" s="141"/>
      <c r="K6" s="149">
        <f>Input_Bulanan!D24</f>
        <v>0.80500000000000005</v>
      </c>
      <c r="L6" s="142"/>
      <c r="M6" s="178" t="str">
        <f>Input_Bulanan!D49</f>
        <v>Moderate to High</v>
      </c>
      <c r="N6" s="141"/>
      <c r="O6" s="141"/>
      <c r="P6" s="141"/>
      <c r="Q6" s="142"/>
      <c r="R6" s="1" t="s">
        <v>8</v>
      </c>
      <c r="S6" s="5" t="str">
        <f>IF(AND(Input_Bulanan!$G$75=1,Input_Bulanan!$F$75=5),Input_Bulanan!$C$75,IF(AND(Input_Bulanan!$G$76=1,Input_Bulanan!$F$76=5),Input_Bulanan!$C$76,IF(AND(Input_Bulanan!$G$77=1,Input_Bulanan!$F$77=5),Input_Bulanan!$C$77,IF(AND(Input_Bulanan!$G$78=1,Input_Bulanan!$F$78=5),Input_Bulanan!$C$78,""))))</f>
        <v/>
      </c>
      <c r="T6" s="3" t="str">
        <f>IF(AND(Input_Bulanan!$G$75=2,Input_Bulanan!$F$75=5),Input_Bulanan!$C$75,IF(AND(Input_Bulanan!$G$76=2,Input_Bulanan!$F$76=5),Input_Bulanan!$C$76,IF(AND(Input_Bulanan!$G$77=2,Input_Bulanan!$F$77=5),Input_Bulanan!$C$77,IF(AND(Input_Bulanan!$G$78=2,Input_Bulanan!$F$78=5),Input_Bulanan!$C$78,""))))</f>
        <v/>
      </c>
      <c r="U6" s="4" t="str">
        <f>IF(AND(Input_Bulanan!$G$75=3,Input_Bulanan!$F$75=5),Input_Bulanan!$C$75,IF(AND(Input_Bulanan!$G$76=3,Input_Bulanan!$F$76=5),Input_Bulanan!$C$76,IF(AND(Input_Bulanan!$G$77=3,Input_Bulanan!$F$77=5),Input_Bulanan!$C$77,IF(AND(Input_Bulanan!$G$78=3,Input_Bulanan!$F$78=5),Input_Bulanan!$C$78,""))))</f>
        <v/>
      </c>
      <c r="V6" s="2" t="str">
        <f>IF(AND(Input_Bulanan!$G$75=4,Input_Bulanan!$F$75=5),Input_Bulanan!$C$75,IF(AND(Input_Bulanan!$G$76=4,Input_Bulanan!$F$76=5),Input_Bulanan!$C$76,IF(AND(Input_Bulanan!$G$77=4,Input_Bulanan!$F$77=5),Input_Bulanan!$C$77,IF(AND(Input_Bulanan!$G$78=4,Input_Bulanan!$F$78=5),Input_Bulanan!$C$78,""))))</f>
        <v/>
      </c>
      <c r="W6" s="2" t="str">
        <f>IF(AND(Input_Bulanan!$G$75=5,Input_Bulanan!$F$75=5),Input_Bulanan!$C$75,IF(AND(Input_Bulanan!$G$76=5,Input_Bulanan!$F$76=5),Input_Bulanan!$C$76,IF(AND(Input_Bulanan!$G$77=5,Input_Bulanan!$F$77=5),Input_Bulanan!$C$77,IF(AND(Input_Bulanan!$G$78=5,Input_Bulanan!$F$78=5),Input_Bulanan!$C$78,""))))</f>
        <v>C2</v>
      </c>
    </row>
    <row r="7" spans="2:23" ht="15.75" customHeight="1" x14ac:dyDescent="0.45">
      <c r="B7" s="154"/>
      <c r="C7" s="155"/>
      <c r="D7" s="155"/>
      <c r="E7" s="155"/>
      <c r="F7" s="156"/>
      <c r="G7" s="143"/>
      <c r="H7" s="144"/>
      <c r="I7" s="144"/>
      <c r="J7" s="144"/>
      <c r="K7" s="144"/>
      <c r="L7" s="145"/>
      <c r="M7" s="154"/>
      <c r="N7" s="155"/>
      <c r="O7" s="155"/>
      <c r="P7" s="155"/>
      <c r="Q7" s="156"/>
      <c r="R7" s="1" t="s">
        <v>9</v>
      </c>
      <c r="S7" s="6" t="str">
        <f>IF(AND(Input_Bulanan!$G$75=1,Input_Bulanan!$F$75=4),Input_Bulanan!$C$75,IF(AND(Input_Bulanan!$G$76=1,Input_Bulanan!$F$76=4),Input_Bulanan!$C$76,IF(AND(Input_Bulanan!$G$77=1,Input_Bulanan!$F$77=4),Input_Bulanan!$C$77,IF(AND(Input_Bulanan!$G$78=1,Input_Bulanan!$F$78=4),Input_Bulanan!$C$78,""))))</f>
        <v/>
      </c>
      <c r="T7" s="5" t="str">
        <f>IF(AND(Input_Bulanan!$G$75=2,Input_Bulanan!$F$75=4),Input_Bulanan!$C$75,IF(AND(Input_Bulanan!$G$76=2,Input_Bulanan!$F$76=4),Input_Bulanan!$C$76,IF(AND(Input_Bulanan!$G$77=2,Input_Bulanan!$F$77=4),Input_Bulanan!$C$77,IF(AND(Input_Bulanan!$G$78=2,Input_Bulanan!$F$78=4),Input_Bulanan!$C$78,""))))</f>
        <v/>
      </c>
      <c r="U7" s="3" t="str">
        <f>IF(AND(Input_Bulanan!$G$75=3,Input_Bulanan!$F$75=4),Input_Bulanan!$C$75,IF(AND(Input_Bulanan!$G$76=3,Input_Bulanan!$F$76=4),Input_Bulanan!$C$76,IF(AND(Input_Bulanan!$G$77=3,Input_Bulanan!$F$77=4),Input_Bulanan!$C$77,IF(AND(Input_Bulanan!$G$78=3,Input_Bulanan!$F$78=4),Input_Bulanan!$C$78,""))))</f>
        <v/>
      </c>
      <c r="V7" s="4" t="str">
        <f>IF(AND(Input_Bulanan!$G$75=4,Input_Bulanan!$F$75=4),Input_Bulanan!$C$75,IF(AND(Input_Bulanan!$G$76=4,Input_Bulanan!$F$76=4),Input_Bulanan!$C$76,IF(AND(Input_Bulanan!$G$77=4,Input_Bulanan!$F$77=4),Input_Bulanan!$C$77,IF(AND(Input_Bulanan!$G$78=4,Input_Bulanan!$F$78=4),Input_Bulanan!$C$78,""))))</f>
        <v>C3</v>
      </c>
      <c r="W7" s="2" t="str">
        <f>IF(AND(Input_Bulanan!$G$75=5,Input_Bulanan!$F$75=4),Input_Bulanan!$C$75,IF(AND(Input_Bulanan!$G$76=5,Input_Bulanan!$F$76=4),Input_Bulanan!$C$76,IF(AND(Input_Bulanan!$G$77=5,Input_Bulanan!$F$77=4),Input_Bulanan!$C$77,IF(AND(Input_Bulanan!$G$78=5,Input_Bulanan!$F$78=4),Input_Bulanan!$C$78,""))))</f>
        <v>C1</v>
      </c>
    </row>
    <row r="8" spans="2:23" ht="15.75" customHeight="1" x14ac:dyDescent="0.45">
      <c r="B8" s="154"/>
      <c r="C8" s="155"/>
      <c r="D8" s="155"/>
      <c r="E8" s="155"/>
      <c r="F8" s="156"/>
      <c r="G8" s="173" t="s">
        <v>10</v>
      </c>
      <c r="H8" s="141"/>
      <c r="I8" s="141"/>
      <c r="J8" s="141"/>
      <c r="K8" s="149">
        <f>Input_Bulanan!D32</f>
        <v>0.76800000000000002</v>
      </c>
      <c r="L8" s="142"/>
      <c r="M8" s="154"/>
      <c r="N8" s="155"/>
      <c r="O8" s="155"/>
      <c r="P8" s="155"/>
      <c r="Q8" s="156"/>
      <c r="R8" s="1" t="s">
        <v>11</v>
      </c>
      <c r="S8" s="6" t="str">
        <f>IF(AND(Input_Bulanan!$G$75=1,Input_Bulanan!$F$75=3),Input_Bulanan!$C$75,IF(AND(Input_Bulanan!$G$76=1,Input_Bulanan!$F$76=3),Input_Bulanan!$C$76,IF(AND(Input_Bulanan!$G$77=1,Input_Bulanan!$F$77=3),Input_Bulanan!$C$77,IF(AND(Input_Bulanan!$G$78=1,Input_Bulanan!$F$78=3),Input_Bulanan!$C$78,""))))</f>
        <v/>
      </c>
      <c r="T8" s="5" t="str">
        <f>IF(AND(Input_Bulanan!$G$75=2,Input_Bulanan!$F$75=3),Input_Bulanan!$C$75,IF(AND(Input_Bulanan!$G$76=2,Input_Bulanan!$F$76=3),Input_Bulanan!$C$76,IF(AND(Input_Bulanan!$G$77=2,Input_Bulanan!$F$77=3),Input_Bulanan!$C$77,IF(AND(Input_Bulanan!$G$78=2,Input_Bulanan!$F$78=3),Input_Bulanan!$C$78,""))))</f>
        <v/>
      </c>
      <c r="U8" s="3" t="str">
        <f>IF(AND(Input_Bulanan!$G$75=3,Input_Bulanan!$F$75=3),Input_Bulanan!$C$75,IF(AND(Input_Bulanan!$G$76=3,Input_Bulanan!$F$76=3),Input_Bulanan!$C$76,IF(AND(Input_Bulanan!$G$77=3,Input_Bulanan!$F$77=3),Input_Bulanan!$C$77,IF(AND(Input_Bulanan!$G$78=3,Input_Bulanan!$F$78=3),Input_Bulanan!$C$78,""))))</f>
        <v>C4</v>
      </c>
      <c r="V8" s="4" t="str">
        <f>IF(AND(Input_Bulanan!$G$75=4,Input_Bulanan!$F$75=3),Input_Bulanan!$C$75,IF(AND(Input_Bulanan!$G$76=4,Input_Bulanan!$F$76=3),Input_Bulanan!$C$76,IF(AND(Input_Bulanan!$G$77=4,Input_Bulanan!$F$77=3),Input_Bulanan!$C$77,IF(AND(Input_Bulanan!$G$78=4,Input_Bulanan!$F$78=3),Input_Bulanan!$C$78,""))))</f>
        <v/>
      </c>
      <c r="W8" s="2" t="str">
        <f>IF(AND(Input_Bulanan!$G$75=5,Input_Bulanan!$F$75=3),Input_Bulanan!$C$75,IF(AND(Input_Bulanan!$G$76=5,Input_Bulanan!$F$76=3),Input_Bulanan!$C$76,IF(AND(Input_Bulanan!$G$77=5,Input_Bulanan!$F$77=3),Input_Bulanan!$C$77,IF(AND(Input_Bulanan!$G$78=5,Input_Bulanan!$F$78=3),Input_Bulanan!$C$78,""))))</f>
        <v/>
      </c>
    </row>
    <row r="9" spans="2:23" ht="15.75" customHeight="1" x14ac:dyDescent="0.45">
      <c r="B9" s="143"/>
      <c r="C9" s="144"/>
      <c r="D9" s="144"/>
      <c r="E9" s="144"/>
      <c r="F9" s="145"/>
      <c r="G9" s="143"/>
      <c r="H9" s="144"/>
      <c r="I9" s="144"/>
      <c r="J9" s="144"/>
      <c r="K9" s="144"/>
      <c r="L9" s="145"/>
      <c r="M9" s="143"/>
      <c r="N9" s="144"/>
      <c r="O9" s="144"/>
      <c r="P9" s="144"/>
      <c r="Q9" s="145"/>
      <c r="R9" s="1" t="s">
        <v>12</v>
      </c>
      <c r="S9" s="6" t="str">
        <f>IF(AND(Input_Bulanan!$G$75=1,Input_Bulanan!$F$75=2),Input_Bulanan!$C$75,IF(AND(Input_Bulanan!$G$76=1,Input_Bulanan!$F$76=2),Input_Bulanan!$C$76,IF(AND(Input_Bulanan!$G$77=1,Input_Bulanan!$F$77=2),Input_Bulanan!$C$77,IF(AND(Input_Bulanan!$G$78=1,Input_Bulanan!$F$78=2),Input_Bulanan!$C$78,""))))</f>
        <v/>
      </c>
      <c r="T9" s="5" t="str">
        <f>IF(AND(Input_Bulanan!$G$75=2,Input_Bulanan!$F$75=2),Input_Bulanan!$C$75,IF(AND(Input_Bulanan!$G$76=2,Input_Bulanan!$F$76=2),Input_Bulanan!$C$76,IF(AND(Input_Bulanan!$G$77=2,Input_Bulanan!$F$77=2),Input_Bulanan!$C$77,IF(AND(Input_Bulanan!$G$78=2,Input_Bulanan!$F$78=2),Input_Bulanan!$C$78,""))))</f>
        <v/>
      </c>
      <c r="U9" s="5" t="str">
        <f>IF(AND(Input_Bulanan!$G$75=3,Input_Bulanan!$F$75=2),Input_Bulanan!$C$75,IF(AND(Input_Bulanan!$G$76=3,Input_Bulanan!$F$76=2),Input_Bulanan!$C$76,IF(AND(Input_Bulanan!$G$77=3,Input_Bulanan!$F$77=2),Input_Bulanan!$C$77,IF(AND(Input_Bulanan!$G$78=3,Input_Bulanan!$F$78=2),Input_Bulanan!$C$78,""))))</f>
        <v/>
      </c>
      <c r="V9" s="4" t="str">
        <f>IF(AND(Input_Bulanan!$G$75=4,Input_Bulanan!$F$75=2),Input_Bulanan!$C$75,IF(AND(Input_Bulanan!$G$76=4,Input_Bulanan!$F$76=2),Input_Bulanan!$C$76,IF(AND(Input_Bulanan!$G$77=4,Input_Bulanan!$F$77=2),Input_Bulanan!$C$77,IF(AND(Input_Bulanan!$G$78=4,Input_Bulanan!$F$78=2),Input_Bulanan!$C$78,""))))</f>
        <v/>
      </c>
      <c r="W9" s="2" t="str">
        <f>IF(AND(Input_Bulanan!$G$75=5,Input_Bulanan!$F$75=2),Input_Bulanan!$C$75,IF(AND(Input_Bulanan!$G$76=5,Input_Bulanan!$F$76=2),Input_Bulanan!$C$76,IF(AND(Input_Bulanan!$G$77=5,Input_Bulanan!$F$77=2),Input_Bulanan!$C$77,IF(AND(Input_Bulanan!$G$78=5,Input_Bulanan!$F$78=2),Input_Bulanan!$C$78,""))))</f>
        <v/>
      </c>
    </row>
    <row r="10" spans="2:23" ht="15.75" customHeight="1" x14ac:dyDescent="0.45">
      <c r="B10" s="140" t="str">
        <f>IF(B6&gt;=0.9,"HIJAU - SEHAT",IF(B6&gt;=0.75,"KUNING - PANTAU",IF(B6&gt;=0.6,"ORANYE - WASPADA","MERAH - KRITIS")))</f>
        <v>KUNING - PANTAU</v>
      </c>
      <c r="C10" s="141"/>
      <c r="D10" s="141"/>
      <c r="E10" s="141"/>
      <c r="F10" s="142"/>
      <c r="G10" s="173" t="s">
        <v>13</v>
      </c>
      <c r="H10" s="141"/>
      <c r="I10" s="141"/>
      <c r="J10" s="141"/>
      <c r="K10" s="149">
        <f>Input_Bulanan!D42</f>
        <v>0.62</v>
      </c>
      <c r="L10" s="142"/>
      <c r="M10" s="175" t="str">
        <f>"Skor Komposit: "&amp;TEXT(Input_Bulanan!D48,"0,00")&amp;" / 100"</f>
        <v>Skor Komposit: 75,32 / 100</v>
      </c>
      <c r="N10" s="141"/>
      <c r="O10" s="141"/>
      <c r="P10" s="141"/>
      <c r="Q10" s="142"/>
      <c r="R10" s="1" t="s">
        <v>14</v>
      </c>
      <c r="S10" s="6" t="str">
        <f>IF(AND(Input_Bulanan!$G$75=1,Input_Bulanan!$F$75=1),Input_Bulanan!$C$75,IF(AND(Input_Bulanan!$G$76=1,Input_Bulanan!$F$76=1),Input_Bulanan!$C$76,IF(AND(Input_Bulanan!$G$77=1,Input_Bulanan!$F$77=1),Input_Bulanan!$C$77,IF(AND(Input_Bulanan!$G$78=1,Input_Bulanan!$F$78=1),Input_Bulanan!$C$78,""))))</f>
        <v/>
      </c>
      <c r="T10" s="6" t="str">
        <f>IF(AND(Input_Bulanan!$G$75=2,Input_Bulanan!$F$75=1),Input_Bulanan!$C$75,IF(AND(Input_Bulanan!$G$76=2,Input_Bulanan!$F$76=1),Input_Bulanan!$C$76,IF(AND(Input_Bulanan!$G$77=2,Input_Bulanan!$F$77=1),Input_Bulanan!$C$77,IF(AND(Input_Bulanan!$G$78=2,Input_Bulanan!$F$78=1),Input_Bulanan!$C$78,""))))</f>
        <v/>
      </c>
      <c r="U10" s="5" t="str">
        <f>IF(AND(Input_Bulanan!$G$75=3,Input_Bulanan!$F$75=1),Input_Bulanan!$C$75,IF(AND(Input_Bulanan!$G$76=3,Input_Bulanan!$F$76=1),Input_Bulanan!$C$76,IF(AND(Input_Bulanan!$G$77=3,Input_Bulanan!$F$77=1),Input_Bulanan!$C$77,IF(AND(Input_Bulanan!$G$78=3,Input_Bulanan!$F$78=1),Input_Bulanan!$C$78,""))))</f>
        <v/>
      </c>
      <c r="V10" s="3" t="str">
        <f>IF(AND(Input_Bulanan!$G$75=4,Input_Bulanan!$F$75=1),Input_Bulanan!$C$75,IF(AND(Input_Bulanan!$G$76=4,Input_Bulanan!$F$76=1),Input_Bulanan!$C$76,IF(AND(Input_Bulanan!$G$77=4,Input_Bulanan!$F$77=1),Input_Bulanan!$C$77,IF(AND(Input_Bulanan!$G$78=4,Input_Bulanan!$F$78=1),Input_Bulanan!$C$78,""))))</f>
        <v/>
      </c>
      <c r="W10" s="2" t="str">
        <f>IF(AND(Input_Bulanan!$G$75=5,Input_Bulanan!$F$75=1),Input_Bulanan!$C$75,IF(AND(Input_Bulanan!$G$76=5,Input_Bulanan!$F$76=1),Input_Bulanan!$C$76,IF(AND(Input_Bulanan!$G$77=5,Input_Bulanan!$F$77=1),Input_Bulanan!$C$77,IF(AND(Input_Bulanan!$G$78=5,Input_Bulanan!$F$78=1),Input_Bulanan!$C$78,""))))</f>
        <v/>
      </c>
    </row>
    <row r="11" spans="2:23" ht="12" customHeight="1" x14ac:dyDescent="0.45">
      <c r="B11" s="143"/>
      <c r="C11" s="144"/>
      <c r="D11" s="144"/>
      <c r="E11" s="144"/>
      <c r="F11" s="145"/>
      <c r="G11" s="143"/>
      <c r="H11" s="144"/>
      <c r="I11" s="144"/>
      <c r="J11" s="144"/>
      <c r="K11" s="144"/>
      <c r="L11" s="145"/>
      <c r="M11" s="143"/>
      <c r="N11" s="144"/>
      <c r="O11" s="144"/>
      <c r="P11" s="144"/>
      <c r="Q11" s="145"/>
      <c r="R11" s="7" t="s">
        <v>15</v>
      </c>
      <c r="S11" s="8">
        <v>1</v>
      </c>
      <c r="T11" s="8">
        <v>2</v>
      </c>
      <c r="U11" s="8">
        <v>3</v>
      </c>
      <c r="V11" s="8">
        <v>4</v>
      </c>
      <c r="W11" s="8">
        <v>5</v>
      </c>
    </row>
    <row r="12" spans="2:23" ht="15.75" customHeight="1" x14ac:dyDescent="0.45">
      <c r="B12" s="151" t="s">
        <v>16</v>
      </c>
      <c r="C12" s="136"/>
      <c r="D12" s="136"/>
      <c r="E12" s="136"/>
      <c r="F12" s="137"/>
      <c r="G12" s="151" t="s">
        <v>17</v>
      </c>
      <c r="H12" s="136"/>
      <c r="I12" s="136"/>
      <c r="J12" s="136"/>
      <c r="K12" s="136"/>
      <c r="L12" s="137"/>
      <c r="M12" s="151" t="s">
        <v>18</v>
      </c>
      <c r="N12" s="136"/>
      <c r="O12" s="136"/>
      <c r="P12" s="136"/>
      <c r="Q12" s="137"/>
      <c r="R12" s="151" t="s">
        <v>19</v>
      </c>
      <c r="S12" s="136"/>
      <c r="T12" s="136"/>
      <c r="U12" s="136"/>
      <c r="V12" s="136"/>
      <c r="W12" s="137"/>
    </row>
    <row r="13" spans="2:23" ht="24" customHeight="1" x14ac:dyDescent="0.45">
      <c r="B13" s="150" t="s">
        <v>20</v>
      </c>
      <c r="C13" s="136"/>
      <c r="D13" s="137"/>
      <c r="E13" s="171">
        <f>Input_Bulanan!D12</f>
        <v>5</v>
      </c>
      <c r="F13" s="137"/>
      <c r="G13" s="138" t="s">
        <v>21</v>
      </c>
      <c r="H13" s="136"/>
      <c r="I13" s="137"/>
      <c r="J13" s="162">
        <f>Input_Bulanan!D8</f>
        <v>500</v>
      </c>
      <c r="K13" s="136"/>
      <c r="L13" s="137"/>
      <c r="M13" s="157" t="s">
        <v>22</v>
      </c>
      <c r="N13" s="136"/>
      <c r="O13" s="137"/>
      <c r="P13" s="161">
        <f>Input_Bulanan!D52</f>
        <v>5</v>
      </c>
      <c r="Q13" s="137"/>
      <c r="R13" s="9" t="str">
        <f>Input_Bulanan!C75</f>
        <v>C1</v>
      </c>
      <c r="S13" s="160" t="str">
        <f>Input_Bulanan!D75&amp;"  |  L="&amp;Input_Bulanan!F75&amp;", C="&amp;Input_Bulanan!G75&amp;", Skala="&amp;Input_Bulanan!H75&amp;" -&gt; "&amp;Input_Bulanan!I75</f>
        <v>Salt Supply Disruption (gangguan pasokan garam industri)  |  L=4, C=5, Skala=24 -&gt; High</v>
      </c>
      <c r="T13" s="136"/>
      <c r="U13" s="136"/>
      <c r="V13" s="136"/>
      <c r="W13" s="136"/>
    </row>
    <row r="14" spans="2:23" ht="24" customHeight="1" x14ac:dyDescent="0.45">
      <c r="B14" s="150" t="s">
        <v>23</v>
      </c>
      <c r="C14" s="136"/>
      <c r="D14" s="137"/>
      <c r="E14" s="171">
        <f>Input_Bulanan!D14</f>
        <v>1</v>
      </c>
      <c r="F14" s="137"/>
      <c r="G14" s="138" t="s">
        <v>24</v>
      </c>
      <c r="H14" s="136"/>
      <c r="I14" s="137"/>
      <c r="J14" s="162">
        <f>Input_Bulanan!D9</f>
        <v>500</v>
      </c>
      <c r="K14" s="136"/>
      <c r="L14" s="137"/>
      <c r="M14" s="157" t="s">
        <v>25</v>
      </c>
      <c r="N14" s="136"/>
      <c r="O14" s="137"/>
      <c r="P14" s="176">
        <f>Input_Bulanan!D53</f>
        <v>11</v>
      </c>
      <c r="Q14" s="137"/>
      <c r="R14" s="9" t="str">
        <f>Input_Bulanan!C76</f>
        <v>C2</v>
      </c>
      <c r="S14" s="160" t="str">
        <f>Input_Bulanan!D76&amp;"  |  L="&amp;Input_Bulanan!F76&amp;", C="&amp;Input_Bulanan!G76&amp;", Skala="&amp;Input_Bulanan!H76&amp;" -&gt; "&amp;Input_Bulanan!I76</f>
        <v>Commissioning Delay (keterlambatan commissioning)  |  L=5, C=5, Skala=25 -&gt; High</v>
      </c>
      <c r="T14" s="136"/>
      <c r="U14" s="136"/>
      <c r="V14" s="136"/>
      <c r="W14" s="136"/>
    </row>
    <row r="15" spans="2:23" ht="24" customHeight="1" x14ac:dyDescent="0.45">
      <c r="B15" s="150" t="s">
        <v>26</v>
      </c>
      <c r="C15" s="136"/>
      <c r="D15" s="137"/>
      <c r="E15" s="174">
        <f>Input_Bulanan!D13</f>
        <v>400</v>
      </c>
      <c r="F15" s="137"/>
      <c r="G15" s="138" t="s">
        <v>27</v>
      </c>
      <c r="H15" s="136"/>
      <c r="I15" s="137"/>
      <c r="J15" s="162">
        <f>Input_Bulanan!D10</f>
        <v>100</v>
      </c>
      <c r="K15" s="136"/>
      <c r="L15" s="137"/>
      <c r="M15" s="157" t="s">
        <v>28</v>
      </c>
      <c r="N15" s="136"/>
      <c r="O15" s="137"/>
      <c r="P15" s="163">
        <f>Input_Bulanan!D54</f>
        <v>18</v>
      </c>
      <c r="Q15" s="137"/>
      <c r="R15" s="9" t="str">
        <f>Input_Bulanan!C77</f>
        <v>C3</v>
      </c>
      <c r="S15" s="160" t="str">
        <f>Input_Bulanan!D77&amp;"  |  L="&amp;Input_Bulanan!F77&amp;", C="&amp;Input_Bulanan!G77&amp;", Skala="&amp;Input_Bulanan!H77&amp;" -&gt; "&amp;Input_Bulanan!I77</f>
        <v>EPC Interface Issue (isu EPC interface lintas kontraktor)  |  L=4, C=4, Skala=19 -&gt; Moderate to High</v>
      </c>
      <c r="T15" s="136"/>
      <c r="U15" s="136"/>
      <c r="V15" s="136"/>
      <c r="W15" s="136"/>
    </row>
    <row r="16" spans="2:23" ht="24" customHeight="1" x14ac:dyDescent="0.45">
      <c r="B16" s="150" t="s">
        <v>29</v>
      </c>
      <c r="C16" s="136"/>
      <c r="D16" s="137"/>
      <c r="E16" s="174">
        <f>Input_Bulanan!D15</f>
        <v>0</v>
      </c>
      <c r="F16" s="137"/>
      <c r="G16" s="183" t="s">
        <v>30</v>
      </c>
      <c r="H16" s="136"/>
      <c r="I16" s="136"/>
      <c r="J16" s="136"/>
      <c r="K16" s="136"/>
      <c r="L16" s="137"/>
      <c r="M16" s="157" t="s">
        <v>31</v>
      </c>
      <c r="N16" s="136"/>
      <c r="O16" s="137"/>
      <c r="P16" s="182">
        <f>Input_Bulanan!D55</f>
        <v>4</v>
      </c>
      <c r="Q16" s="137"/>
      <c r="R16" s="9" t="str">
        <f>Input_Bulanan!C78</f>
        <v>C4</v>
      </c>
      <c r="S16" s="160" t="str">
        <f>Input_Bulanan!D78&amp;"  |  L="&amp;Input_Bulanan!F78&amp;", C="&amp;Input_Bulanan!G78&amp;", Skala="&amp;Input_Bulanan!H78&amp;" -&gt; "&amp;Input_Bulanan!I78</f>
        <v>Long Lead Equipment (keterlambatan peralatan utama)  |  L=3, C=3, Skala=13 -&gt; Moderate</v>
      </c>
      <c r="T16" s="136"/>
      <c r="U16" s="136"/>
      <c r="V16" s="136"/>
      <c r="W16" s="136"/>
    </row>
    <row r="17" spans="2:23" ht="15" customHeight="1" x14ac:dyDescent="0.45">
      <c r="L17" s="105"/>
      <c r="M17" s="157" t="s">
        <v>32</v>
      </c>
      <c r="N17" s="136"/>
      <c r="O17" s="137"/>
      <c r="P17" s="182">
        <f>Input_Bulanan!D56</f>
        <v>3</v>
      </c>
      <c r="Q17" s="137"/>
    </row>
    <row r="18" spans="2:23" x14ac:dyDescent="0.45">
      <c r="M18" s="104" t="s">
        <v>33</v>
      </c>
      <c r="N18" s="102"/>
      <c r="O18" s="103"/>
      <c r="P18" s="181">
        <f>Input_Bulanan!D57</f>
        <v>41</v>
      </c>
      <c r="Q18" s="137"/>
    </row>
    <row r="19" spans="2:23" ht="15.75" customHeight="1" x14ac:dyDescent="0.45"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</row>
    <row r="20" spans="2:23" ht="15" customHeight="1" x14ac:dyDescent="0.45">
      <c r="B20" s="172" t="s">
        <v>34</v>
      </c>
      <c r="C20" s="141"/>
      <c r="D20" s="141"/>
      <c r="E20" s="141"/>
      <c r="F20" s="141"/>
      <c r="G20" s="141"/>
      <c r="H20" s="141"/>
      <c r="I20" s="141"/>
      <c r="J20" s="141"/>
      <c r="K20" s="141"/>
      <c r="L20" s="142"/>
      <c r="M20" s="172" t="s">
        <v>35</v>
      </c>
      <c r="N20" s="136"/>
      <c r="O20" s="136"/>
      <c r="P20" s="136"/>
      <c r="Q20" s="137"/>
    </row>
    <row r="21" spans="2:23" ht="15" customHeight="1" x14ac:dyDescent="0.45">
      <c r="B21" s="154"/>
      <c r="C21" s="155"/>
      <c r="D21" s="155"/>
      <c r="E21" s="155"/>
      <c r="F21" s="155"/>
      <c r="G21" s="155"/>
      <c r="H21" s="155"/>
      <c r="I21" s="155"/>
      <c r="J21" s="155"/>
      <c r="K21" s="155"/>
      <c r="L21" s="156"/>
      <c r="M21" s="150" t="s">
        <v>36</v>
      </c>
      <c r="N21" s="136"/>
      <c r="O21" s="137"/>
      <c r="P21" s="148">
        <f>Input_Bulanan!D60</f>
        <v>0.82</v>
      </c>
      <c r="Q21" s="137"/>
    </row>
    <row r="22" spans="2:23" ht="15" customHeight="1" x14ac:dyDescent="0.45"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6"/>
      <c r="M22" s="150" t="s">
        <v>37</v>
      </c>
      <c r="N22" s="136"/>
      <c r="O22" s="137"/>
      <c r="P22" s="148">
        <f>Input_Bulanan!D61</f>
        <v>0.18</v>
      </c>
      <c r="Q22" s="137"/>
    </row>
    <row r="23" spans="2:23" ht="15" customHeight="1" x14ac:dyDescent="0.45">
      <c r="B23" s="154"/>
      <c r="C23" s="155"/>
      <c r="D23" s="155"/>
      <c r="E23" s="155"/>
      <c r="F23" s="155"/>
      <c r="G23" s="155"/>
      <c r="H23" s="155"/>
      <c r="I23" s="155"/>
      <c r="J23" s="155"/>
      <c r="K23" s="155"/>
      <c r="L23" s="156"/>
      <c r="M23" s="150" t="s">
        <v>38</v>
      </c>
      <c r="N23" s="136"/>
      <c r="O23" s="137"/>
      <c r="P23" s="148">
        <f>Input_Bulanan!D62</f>
        <v>0.76</v>
      </c>
      <c r="Q23" s="137"/>
    </row>
    <row r="24" spans="2:23" ht="14.25" customHeight="1" x14ac:dyDescent="0.45">
      <c r="B24" s="143"/>
      <c r="C24" s="144"/>
      <c r="D24" s="144"/>
      <c r="E24" s="144"/>
      <c r="F24" s="144"/>
      <c r="G24" s="144"/>
      <c r="H24" s="144"/>
      <c r="I24" s="144"/>
      <c r="J24" s="144"/>
      <c r="K24" s="144"/>
      <c r="L24" s="145"/>
      <c r="M24" s="150" t="s">
        <v>39</v>
      </c>
      <c r="N24" s="136"/>
      <c r="O24" s="137"/>
      <c r="P24" s="168">
        <f>Input_Bulanan!D63</f>
        <v>5</v>
      </c>
      <c r="Q24" s="137"/>
    </row>
    <row r="25" spans="2:23" ht="18" customHeight="1" x14ac:dyDescent="0.45"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</row>
    <row r="26" spans="2:23" ht="15.75" customHeight="1" x14ac:dyDescent="0.45">
      <c r="B26" s="158" t="s">
        <v>40</v>
      </c>
      <c r="C26" s="136"/>
      <c r="D26" s="136"/>
      <c r="E26" s="136"/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7"/>
    </row>
    <row r="27" spans="2:23" ht="25.5" customHeight="1" x14ac:dyDescent="0.45">
      <c r="B27" s="146" t="s">
        <v>41</v>
      </c>
      <c r="C27" s="136"/>
      <c r="D27" s="136"/>
      <c r="E27" s="136"/>
      <c r="F27" s="137"/>
      <c r="G27" s="146" t="s">
        <v>42</v>
      </c>
      <c r="H27" s="136"/>
      <c r="I27" s="136"/>
      <c r="J27" s="137"/>
      <c r="K27" s="146" t="s">
        <v>43</v>
      </c>
      <c r="L27" s="137"/>
      <c r="M27" s="12" t="s">
        <v>44</v>
      </c>
      <c r="N27" s="12" t="s">
        <v>45</v>
      </c>
      <c r="O27" s="12" t="s">
        <v>46</v>
      </c>
      <c r="P27" s="146" t="s">
        <v>47</v>
      </c>
      <c r="Q27" s="136"/>
      <c r="R27" s="136"/>
      <c r="S27" s="136"/>
      <c r="T27" s="136"/>
      <c r="U27" s="136"/>
      <c r="V27" s="136"/>
      <c r="W27" s="137"/>
    </row>
    <row r="28" spans="2:23" ht="25.5" customHeight="1" x14ac:dyDescent="0.45">
      <c r="B28" s="138" t="str">
        <f>Input_Bulanan!C67</f>
        <v>First Shipment</v>
      </c>
      <c r="C28" s="136"/>
      <c r="D28" s="136"/>
      <c r="E28" s="136"/>
      <c r="F28" s="137"/>
      <c r="G28" s="147" t="str">
        <f>Input_Bulanan!D67</f>
        <v>Target (Threshold)</v>
      </c>
      <c r="H28" s="136"/>
      <c r="I28" s="136"/>
      <c r="J28" s="137"/>
      <c r="K28" s="169" t="str">
        <f>TEXT(Input_Bulanan!E67,"dd-mmm-yy")</f>
        <v>01-Apr-26</v>
      </c>
      <c r="L28" s="137"/>
      <c r="M28" s="106" t="str">
        <f>IF(Input_Bulanan!H67="Aman","V","")</f>
        <v>V</v>
      </c>
      <c r="N28" s="106" t="str">
        <f>IF(Input_Bulanan!H67="Waspada","V","")</f>
        <v/>
      </c>
      <c r="O28" s="106" t="str">
        <f>IF(Input_Bulanan!H67="Bahaya","V","")</f>
        <v/>
      </c>
      <c r="P28" s="180" t="s">
        <v>48</v>
      </c>
      <c r="Q28" s="136"/>
      <c r="R28" s="136"/>
      <c r="S28" s="136"/>
      <c r="T28" s="136"/>
      <c r="U28" s="136"/>
      <c r="V28" s="136"/>
      <c r="W28" s="137"/>
    </row>
    <row r="29" spans="2:23" ht="25.5" customHeight="1" x14ac:dyDescent="0.45">
      <c r="B29" s="152" t="str">
        <f>Input_Bulanan!C68</f>
        <v>Project Progress</v>
      </c>
      <c r="C29" s="136"/>
      <c r="D29" s="136"/>
      <c r="E29" s="136"/>
      <c r="F29" s="137"/>
      <c r="G29" s="165" t="str">
        <f>Input_Bulanan!D68</f>
        <v>Minimal 80%</v>
      </c>
      <c r="H29" s="136"/>
      <c r="I29" s="136"/>
      <c r="J29" s="137"/>
      <c r="K29" s="139" t="str">
        <f>TEXT(Input_Bulanan!E68,"0%")</f>
        <v>88%</v>
      </c>
      <c r="L29" s="137"/>
      <c r="M29" s="106" t="str">
        <f>IF(Input_Bulanan!H68="Aman","V","")</f>
        <v/>
      </c>
      <c r="N29" s="106" t="str">
        <f>IF(Input_Bulanan!H68="Waspada","V","")</f>
        <v/>
      </c>
      <c r="O29" s="106" t="str">
        <f>IF(Input_Bulanan!H68="Bahaya","V","")</f>
        <v>V</v>
      </c>
      <c r="P29" s="164" t="s">
        <v>49</v>
      </c>
      <c r="Q29" s="136"/>
      <c r="R29" s="136"/>
      <c r="S29" s="136"/>
      <c r="T29" s="136"/>
      <c r="U29" s="136"/>
      <c r="V29" s="136"/>
      <c r="W29" s="137"/>
    </row>
    <row r="30" spans="2:23" ht="25.5" customHeight="1" x14ac:dyDescent="0.45">
      <c r="B30" s="138" t="str">
        <f>Input_Bulanan!C69</f>
        <v>Offtaker Agreement</v>
      </c>
      <c r="C30" s="136"/>
      <c r="D30" s="136"/>
      <c r="E30" s="136"/>
      <c r="F30" s="137"/>
      <c r="G30" s="147" t="str">
        <f>Input_Bulanan!D69</f>
        <v>SPI &gt;= 1,00</v>
      </c>
      <c r="H30" s="136"/>
      <c r="I30" s="136"/>
      <c r="J30" s="137"/>
      <c r="K30" s="170" t="str">
        <f>TEXT(Input_Bulanan!E69,"0%")</f>
        <v>60%</v>
      </c>
      <c r="L30" s="137"/>
      <c r="M30" s="106" t="str">
        <f>IF(Input_Bulanan!H69="Aman","V","")</f>
        <v/>
      </c>
      <c r="N30" s="106" t="str">
        <f>IF(Input_Bulanan!H69="Waspada","V","")</f>
        <v/>
      </c>
      <c r="O30" s="106" t="str">
        <f>IF(Input_Bulanan!H69="Bahaya","V","")</f>
        <v>V</v>
      </c>
      <c r="P30" s="180" t="s">
        <v>50</v>
      </c>
      <c r="Q30" s="136"/>
      <c r="R30" s="136"/>
      <c r="S30" s="136"/>
      <c r="T30" s="136"/>
      <c r="U30" s="136"/>
      <c r="V30" s="136"/>
      <c r="W30" s="137"/>
    </row>
    <row r="31" spans="2:23" ht="25.5" customHeight="1" x14ac:dyDescent="0.45">
      <c r="B31" s="152"/>
      <c r="C31" s="136"/>
      <c r="D31" s="136"/>
      <c r="E31" s="136"/>
      <c r="F31" s="137"/>
      <c r="G31" s="165"/>
      <c r="H31" s="136"/>
      <c r="I31" s="136"/>
      <c r="J31" s="137"/>
      <c r="K31" s="139"/>
      <c r="L31" s="137"/>
      <c r="M31" s="106"/>
      <c r="N31" s="106"/>
      <c r="O31" s="106"/>
      <c r="P31" s="164"/>
      <c r="Q31" s="136"/>
      <c r="R31" s="136"/>
      <c r="S31" s="136"/>
      <c r="T31" s="136"/>
      <c r="U31" s="136"/>
      <c r="V31" s="136"/>
      <c r="W31" s="137"/>
    </row>
    <row r="32" spans="2:23" ht="25.5" customHeight="1" x14ac:dyDescent="0.45">
      <c r="B32" s="138"/>
      <c r="C32" s="136"/>
      <c r="D32" s="136"/>
      <c r="E32" s="136"/>
      <c r="F32" s="137"/>
      <c r="G32" s="147"/>
      <c r="H32" s="136"/>
      <c r="I32" s="136"/>
      <c r="J32" s="137"/>
      <c r="K32" s="166"/>
      <c r="L32" s="137"/>
      <c r="M32" s="106"/>
      <c r="N32" s="106"/>
      <c r="O32" s="106"/>
      <c r="P32" s="180"/>
      <c r="Q32" s="136"/>
      <c r="R32" s="136"/>
      <c r="S32" s="136"/>
      <c r="T32" s="136"/>
      <c r="U32" s="136"/>
      <c r="V32" s="136"/>
      <c r="W32" s="137"/>
    </row>
    <row r="33" spans="2:23" x14ac:dyDescent="0.45">
      <c r="B33" s="152"/>
      <c r="C33" s="136"/>
      <c r="D33" s="136"/>
      <c r="E33" s="136"/>
      <c r="F33" s="137"/>
      <c r="G33" s="165"/>
      <c r="H33" s="136"/>
      <c r="I33" s="136"/>
      <c r="J33" s="137"/>
      <c r="K33" s="139"/>
      <c r="L33" s="137"/>
      <c r="M33" s="106"/>
      <c r="N33" s="106"/>
      <c r="O33" s="106"/>
      <c r="P33" s="164"/>
      <c r="Q33" s="136"/>
      <c r="R33" s="136"/>
      <c r="S33" s="136"/>
      <c r="T33" s="136"/>
      <c r="U33" s="136"/>
      <c r="V33" s="136"/>
      <c r="W33" s="137"/>
    </row>
    <row r="34" spans="2:23" ht="18" customHeight="1" x14ac:dyDescent="0.45"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</row>
    <row r="35" spans="2:23" ht="15" customHeight="1" x14ac:dyDescent="0.45">
      <c r="B35" s="158" t="s">
        <v>51</v>
      </c>
      <c r="C35" s="136"/>
      <c r="D35" s="136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7"/>
    </row>
    <row r="36" spans="2:23" ht="33" customHeight="1" x14ac:dyDescent="0.45">
      <c r="B36" s="159" t="str">
        <f>"Prioritas 1—2: [1] " &amp; INDEX(Risk_Action_Tracker!E$6:E$15, MATCH(LARGE(Risk_Action_Tracker!Z$6:Z$15, 1), Risk_Action_Tracker!Z$6:Z$15, 0)) &amp; " · [2] " &amp; INDEX(Risk_Action_Tracker!E$6:E$15, MATCH(LARGE(Risk_Action_Tracker!Z$6:Z$15, 2), Risk_Action_Tracker!Z$6:Z$15, 0))</f>
        <v>Prioritas 1—2: [1] Mengesahkan pembentukan tim Interface Coordinator dan menerapkan Interface Management Plan (IMP) yang mengikat seluruh kontraktor; mengharuskan Rekind menyelaraskan jadwal penyusunan gambar detail dengan kemajuan ISBL EPC-A. · [2] Memberikan dispensasi perpanjangan jaminan pelaksanaan secara terkendali; meminta Parent Company Guarantee dari PT Perusahaan Induk X (Persero) untuk menjamin ketersediaan pendanaan bila Rekind menghadapi kendala likuiditas.</v>
      </c>
      <c r="C36" s="136"/>
      <c r="D36" s="136"/>
      <c r="E36" s="136"/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7"/>
    </row>
    <row r="37" spans="2:23" ht="42.4" customHeight="1" x14ac:dyDescent="0.45">
      <c r="B37" s="159" t="s">
        <v>52</v>
      </c>
      <c r="C37" s="136"/>
      <c r="D37" s="136"/>
      <c r="E37" s="136"/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7"/>
    </row>
  </sheetData>
  <mergeCells count="98">
    <mergeCell ref="B33:F33"/>
    <mergeCell ref="P30:W30"/>
    <mergeCell ref="G30:J30"/>
    <mergeCell ref="M19:Q19"/>
    <mergeCell ref="K6:L7"/>
    <mergeCell ref="P16:Q16"/>
    <mergeCell ref="P32:W32"/>
    <mergeCell ref="K31:L31"/>
    <mergeCell ref="B29:F29"/>
    <mergeCell ref="R5:W5"/>
    <mergeCell ref="P28:W28"/>
    <mergeCell ref="B16:D16"/>
    <mergeCell ref="G28:J28"/>
    <mergeCell ref="P18:Q18"/>
    <mergeCell ref="P17:Q17"/>
    <mergeCell ref="E15:F15"/>
    <mergeCell ref="B19:L19"/>
    <mergeCell ref="G16:L16"/>
    <mergeCell ref="B2:W2"/>
    <mergeCell ref="B34:W34"/>
    <mergeCell ref="B4:L4"/>
    <mergeCell ref="B37:W37"/>
    <mergeCell ref="M6:Q9"/>
    <mergeCell ref="G8:J9"/>
    <mergeCell ref="M13:O13"/>
    <mergeCell ref="M16:O16"/>
    <mergeCell ref="G10:J11"/>
    <mergeCell ref="B12:F12"/>
    <mergeCell ref="P21:Q21"/>
    <mergeCell ref="P27:W27"/>
    <mergeCell ref="B15:D15"/>
    <mergeCell ref="G27:J27"/>
    <mergeCell ref="P23:Q23"/>
    <mergeCell ref="E13:F13"/>
    <mergeCell ref="B35:W35"/>
    <mergeCell ref="G6:J7"/>
    <mergeCell ref="B25:W25"/>
    <mergeCell ref="M14:O14"/>
    <mergeCell ref="M23:O23"/>
    <mergeCell ref="K27:L27"/>
    <mergeCell ref="G12:L12"/>
    <mergeCell ref="J14:L14"/>
    <mergeCell ref="E16:F16"/>
    <mergeCell ref="M10:Q11"/>
    <mergeCell ref="P33:W33"/>
    <mergeCell ref="P14:Q14"/>
    <mergeCell ref="G33:J33"/>
    <mergeCell ref="B14:D14"/>
    <mergeCell ref="S16:W16"/>
    <mergeCell ref="B20:L24"/>
    <mergeCell ref="B1:W1"/>
    <mergeCell ref="P24:Q24"/>
    <mergeCell ref="K28:L28"/>
    <mergeCell ref="J15:L15"/>
    <mergeCell ref="K30:L30"/>
    <mergeCell ref="M22:O22"/>
    <mergeCell ref="P29:W29"/>
    <mergeCell ref="G29:J29"/>
    <mergeCell ref="E14:F14"/>
    <mergeCell ref="R12:W12"/>
    <mergeCell ref="M5:Q5"/>
    <mergeCell ref="M15:O15"/>
    <mergeCell ref="M20:Q20"/>
    <mergeCell ref="G14:I14"/>
    <mergeCell ref="B5:F5"/>
    <mergeCell ref="B13:D13"/>
    <mergeCell ref="B36:W36"/>
    <mergeCell ref="S14:W14"/>
    <mergeCell ref="K10:L11"/>
    <mergeCell ref="M24:O24"/>
    <mergeCell ref="S13:W13"/>
    <mergeCell ref="M12:Q12"/>
    <mergeCell ref="B32:F32"/>
    <mergeCell ref="B28:F28"/>
    <mergeCell ref="S15:W15"/>
    <mergeCell ref="P13:Q13"/>
    <mergeCell ref="B30:F30"/>
    <mergeCell ref="J13:L13"/>
    <mergeCell ref="P15:Q15"/>
    <mergeCell ref="P31:W31"/>
    <mergeCell ref="G31:J31"/>
    <mergeCell ref="K32:L32"/>
    <mergeCell ref="M4:W4"/>
    <mergeCell ref="G13:I13"/>
    <mergeCell ref="K33:L33"/>
    <mergeCell ref="B10:F11"/>
    <mergeCell ref="B27:F27"/>
    <mergeCell ref="G15:I15"/>
    <mergeCell ref="G32:J32"/>
    <mergeCell ref="P22:Q22"/>
    <mergeCell ref="K8:L9"/>
    <mergeCell ref="M21:O21"/>
    <mergeCell ref="G5:L5"/>
    <mergeCell ref="B31:F31"/>
    <mergeCell ref="K29:L29"/>
    <mergeCell ref="B6:F9"/>
    <mergeCell ref="M17:O17"/>
    <mergeCell ref="B26:W26"/>
  </mergeCells>
  <conditionalFormatting sqref="B10:F11">
    <cfRule type="expression" dxfId="11" priority="2">
      <formula>B6&gt;=0.9</formula>
    </cfRule>
    <cfRule type="expression" dxfId="10" priority="3">
      <formula>AND(B6&gt;=0.75,B6&lt;0.9)</formula>
    </cfRule>
    <cfRule type="expression" dxfId="9" priority="4">
      <formula>AND(B6&gt;=0.6,B6&lt;0.75)</formula>
    </cfRule>
    <cfRule type="expression" dxfId="8" priority="5">
      <formula>B6&lt;0.6</formula>
    </cfRule>
  </conditionalFormatting>
  <conditionalFormatting sqref="M27:M32">
    <cfRule type="cellIs" dxfId="7" priority="11" operator="equal">
      <formula>"V"</formula>
    </cfRule>
  </conditionalFormatting>
  <conditionalFormatting sqref="M6:Q9">
    <cfRule type="cellIs" dxfId="6" priority="6" operator="equal">
      <formula>"Low"</formula>
    </cfRule>
    <cfRule type="cellIs" dxfId="5" priority="7" operator="equal">
      <formula>"Low to Moderate"</formula>
    </cfRule>
    <cfRule type="cellIs" dxfId="4" priority="8" operator="equal">
      <formula>"Moderate"</formula>
    </cfRule>
    <cfRule type="cellIs" dxfId="3" priority="9" operator="equal">
      <formula>"Moderate to High"</formula>
    </cfRule>
    <cfRule type="cellIs" dxfId="2" priority="10" operator="equal">
      <formula>"High"</formula>
    </cfRule>
  </conditionalFormatting>
  <conditionalFormatting sqref="N27:N32">
    <cfRule type="cellIs" dxfId="1" priority="12" operator="equal">
      <formula>"V"</formula>
    </cfRule>
  </conditionalFormatting>
  <conditionalFormatting sqref="O27:O33">
    <cfRule type="cellIs" dxfId="0" priority="13" operator="equal">
      <formula>"V"</formula>
    </cfRule>
  </conditionalFormatting>
  <pageMargins left="0.75" right="0.75" top="1" bottom="1" header="0.511811023622047" footer="0.511811023622047"/>
  <pageSetup paperSize="8" orientation="landscape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B1F3A"/>
  </sheetPr>
  <dimension ref="A2:F148"/>
  <sheetViews>
    <sheetView showGridLines="0" zoomScale="85" zoomScaleNormal="85" workbookViewId="0">
      <selection activeCell="C8" sqref="C8"/>
    </sheetView>
  </sheetViews>
  <sheetFormatPr defaultColWidth="8.59765625" defaultRowHeight="14.25" x14ac:dyDescent="0.45"/>
  <cols>
    <col min="1" max="1" width="26" customWidth="1"/>
    <col min="2" max="2" width="30" customWidth="1"/>
    <col min="3" max="3" width="40" customWidth="1"/>
    <col min="4" max="4" width="18.53125" customWidth="1"/>
    <col min="5" max="6" width="25" customWidth="1"/>
  </cols>
  <sheetData>
    <row r="2" spans="1:5" ht="19.5" customHeight="1" x14ac:dyDescent="0.5">
      <c r="A2" s="13" t="s">
        <v>166</v>
      </c>
      <c r="B2" s="13"/>
      <c r="C2" s="13"/>
      <c r="D2" s="13"/>
      <c r="E2" s="13"/>
    </row>
    <row r="3" spans="1:5" ht="30" customHeight="1" x14ac:dyDescent="0.45">
      <c r="A3" s="209" t="s">
        <v>167</v>
      </c>
      <c r="B3" s="155"/>
      <c r="C3" s="155"/>
      <c r="D3" s="155"/>
      <c r="E3" s="155"/>
    </row>
    <row r="5" spans="1:5" ht="15.75" customHeight="1" x14ac:dyDescent="0.45">
      <c r="A5" s="194" t="s">
        <v>168</v>
      </c>
      <c r="B5" s="136"/>
      <c r="C5" s="136"/>
      <c r="D5" s="136"/>
      <c r="E5" s="137"/>
    </row>
    <row r="6" spans="1:5" ht="18" customHeight="1" x14ac:dyDescent="0.45">
      <c r="A6" s="14" t="s">
        <v>169</v>
      </c>
      <c r="B6" s="14" t="s">
        <v>170</v>
      </c>
      <c r="C6" s="14" t="s">
        <v>171</v>
      </c>
      <c r="D6" s="14" t="s">
        <v>172</v>
      </c>
      <c r="E6" s="14" t="s">
        <v>173</v>
      </c>
    </row>
    <row r="7" spans="1:5" ht="45.75" customHeight="1" x14ac:dyDescent="0.45">
      <c r="A7" s="15" t="s">
        <v>70</v>
      </c>
      <c r="B7" s="16" t="s">
        <v>174</v>
      </c>
      <c r="C7" s="16" t="s">
        <v>175</v>
      </c>
      <c r="D7" s="17" t="s">
        <v>176</v>
      </c>
      <c r="E7" s="18" t="s">
        <v>177</v>
      </c>
    </row>
    <row r="8" spans="1:5" ht="45.75" customHeight="1" x14ac:dyDescent="0.45">
      <c r="A8" s="19" t="s">
        <v>72</v>
      </c>
      <c r="B8" s="20" t="s">
        <v>178</v>
      </c>
      <c r="C8" s="20" t="s">
        <v>179</v>
      </c>
      <c r="D8" s="109">
        <v>0.2</v>
      </c>
      <c r="E8" s="21" t="s">
        <v>180</v>
      </c>
    </row>
    <row r="9" spans="1:5" ht="45.75" customHeight="1" x14ac:dyDescent="0.45">
      <c r="A9" s="15" t="s">
        <v>7</v>
      </c>
      <c r="B9" s="16" t="s">
        <v>181</v>
      </c>
      <c r="C9" s="16" t="s">
        <v>182</v>
      </c>
      <c r="D9" s="109">
        <v>0.2</v>
      </c>
      <c r="E9" s="18" t="s">
        <v>183</v>
      </c>
    </row>
    <row r="10" spans="1:5" ht="45.75" customHeight="1" x14ac:dyDescent="0.45">
      <c r="A10" s="19" t="s">
        <v>10</v>
      </c>
      <c r="B10" s="20" t="s">
        <v>184</v>
      </c>
      <c r="C10" s="20" t="s">
        <v>185</v>
      </c>
      <c r="D10" s="109">
        <v>0.2</v>
      </c>
      <c r="E10" s="21" t="s">
        <v>186</v>
      </c>
    </row>
    <row r="11" spans="1:5" ht="45.75" customHeight="1" x14ac:dyDescent="0.45">
      <c r="A11" s="15" t="s">
        <v>13</v>
      </c>
      <c r="B11" s="16" t="s">
        <v>187</v>
      </c>
      <c r="C11" s="16" t="s">
        <v>188</v>
      </c>
      <c r="D11" s="109">
        <v>0.2</v>
      </c>
      <c r="E11" s="18" t="s">
        <v>189</v>
      </c>
    </row>
    <row r="12" spans="1:5" x14ac:dyDescent="0.45">
      <c r="D12" s="17"/>
    </row>
    <row r="13" spans="1:5" ht="15" customHeight="1" x14ac:dyDescent="0.45">
      <c r="A13" s="22" t="s">
        <v>3</v>
      </c>
    </row>
    <row r="14" spans="1:5" ht="15" customHeight="1" x14ac:dyDescent="0.45">
      <c r="A14" s="211" t="s">
        <v>190</v>
      </c>
      <c r="B14" s="155"/>
      <c r="C14" s="155"/>
      <c r="D14" s="155"/>
      <c r="E14" s="155"/>
    </row>
    <row r="15" spans="1:5" ht="24" customHeight="1" x14ac:dyDescent="0.45">
      <c r="A15" s="192" t="s">
        <v>191</v>
      </c>
      <c r="B15" s="155"/>
      <c r="C15" s="155"/>
      <c r="D15" s="155"/>
      <c r="E15" s="155"/>
    </row>
    <row r="17" spans="1:5" ht="15.75" customHeight="1" x14ac:dyDescent="0.45">
      <c r="A17" s="194" t="s">
        <v>192</v>
      </c>
      <c r="B17" s="136"/>
      <c r="C17" s="136"/>
      <c r="D17" s="136"/>
      <c r="E17" s="137"/>
    </row>
    <row r="18" spans="1:5" ht="15.75" customHeight="1" x14ac:dyDescent="0.45">
      <c r="A18" s="14" t="s">
        <v>41</v>
      </c>
      <c r="B18" s="14" t="s">
        <v>69</v>
      </c>
      <c r="C18" s="195" t="s">
        <v>193</v>
      </c>
      <c r="D18" s="136"/>
      <c r="E18" s="137"/>
    </row>
    <row r="19" spans="1:5" ht="33.75" customHeight="1" x14ac:dyDescent="0.45">
      <c r="A19" s="15" t="s">
        <v>194</v>
      </c>
      <c r="B19" s="109">
        <v>0.25</v>
      </c>
      <c r="C19" s="196" t="s">
        <v>195</v>
      </c>
      <c r="D19" s="136"/>
      <c r="E19" s="136"/>
    </row>
    <row r="20" spans="1:5" ht="33.75" customHeight="1" x14ac:dyDescent="0.45">
      <c r="A20" s="19" t="s">
        <v>196</v>
      </c>
      <c r="B20" s="110">
        <v>0.2</v>
      </c>
      <c r="C20" s="193" t="s">
        <v>197</v>
      </c>
      <c r="D20" s="136"/>
      <c r="E20" s="136"/>
    </row>
    <row r="21" spans="1:5" ht="33.75" customHeight="1" x14ac:dyDescent="0.45">
      <c r="A21" s="15" t="s">
        <v>198</v>
      </c>
      <c r="B21" s="109">
        <v>0.2</v>
      </c>
      <c r="C21" s="196" t="s">
        <v>199</v>
      </c>
      <c r="D21" s="136"/>
      <c r="E21" s="136"/>
    </row>
    <row r="22" spans="1:5" ht="33.75" customHeight="1" x14ac:dyDescent="0.45">
      <c r="A22" s="19" t="s">
        <v>200</v>
      </c>
      <c r="B22" s="110">
        <v>0.2</v>
      </c>
      <c r="C22" s="193" t="s">
        <v>201</v>
      </c>
      <c r="D22" s="136"/>
      <c r="E22" s="136"/>
    </row>
    <row r="23" spans="1:5" ht="33.75" customHeight="1" x14ac:dyDescent="0.45">
      <c r="A23" s="15" t="s">
        <v>202</v>
      </c>
      <c r="B23" s="109">
        <v>0.15</v>
      </c>
      <c r="C23" s="196" t="s">
        <v>203</v>
      </c>
      <c r="D23" s="136"/>
      <c r="E23" s="136"/>
    </row>
    <row r="25" spans="1:5" ht="15.75" customHeight="1" x14ac:dyDescent="0.45">
      <c r="A25" s="194" t="s">
        <v>204</v>
      </c>
      <c r="B25" s="136"/>
      <c r="C25" s="136"/>
      <c r="D25" s="136"/>
      <c r="E25" s="137"/>
    </row>
    <row r="26" spans="1:5" ht="15.75" customHeight="1" x14ac:dyDescent="0.45">
      <c r="A26" s="14" t="s">
        <v>41</v>
      </c>
      <c r="B26" s="14" t="s">
        <v>69</v>
      </c>
      <c r="C26" s="195" t="s">
        <v>193</v>
      </c>
      <c r="D26" s="136"/>
      <c r="E26" s="137"/>
    </row>
    <row r="27" spans="1:5" ht="33.75" customHeight="1" x14ac:dyDescent="0.45">
      <c r="A27" s="15" t="s">
        <v>205</v>
      </c>
      <c r="B27" s="109">
        <v>0.25</v>
      </c>
      <c r="C27" s="196" t="s">
        <v>206</v>
      </c>
      <c r="D27" s="136"/>
      <c r="E27" s="136"/>
    </row>
    <row r="28" spans="1:5" ht="33.75" customHeight="1" x14ac:dyDescent="0.45">
      <c r="A28" s="19" t="s">
        <v>207</v>
      </c>
      <c r="B28" s="110">
        <v>0.3</v>
      </c>
      <c r="C28" s="193" t="s">
        <v>208</v>
      </c>
      <c r="D28" s="136"/>
      <c r="E28" s="136"/>
    </row>
    <row r="29" spans="1:5" ht="33.75" customHeight="1" x14ac:dyDescent="0.45">
      <c r="A29" s="15" t="s">
        <v>209</v>
      </c>
      <c r="B29" s="109">
        <v>0.35</v>
      </c>
      <c r="C29" s="196" t="s">
        <v>210</v>
      </c>
      <c r="D29" s="136"/>
      <c r="E29" s="136"/>
    </row>
    <row r="30" spans="1:5" ht="33.75" customHeight="1" x14ac:dyDescent="0.45">
      <c r="A30" s="19" t="s">
        <v>211</v>
      </c>
      <c r="B30" s="110">
        <v>0.1</v>
      </c>
      <c r="C30" s="193" t="s">
        <v>212</v>
      </c>
      <c r="D30" s="136"/>
      <c r="E30" s="136"/>
    </row>
    <row r="32" spans="1:5" ht="15.75" customHeight="1" x14ac:dyDescent="0.45">
      <c r="A32" s="194" t="s">
        <v>213</v>
      </c>
      <c r="B32" s="136"/>
      <c r="C32" s="136"/>
      <c r="D32" s="136"/>
      <c r="E32" s="137"/>
    </row>
    <row r="33" spans="1:6" ht="15.75" customHeight="1" x14ac:dyDescent="0.45">
      <c r="A33" s="14" t="s">
        <v>41</v>
      </c>
      <c r="B33" s="14" t="s">
        <v>69</v>
      </c>
      <c r="C33" s="195" t="s">
        <v>193</v>
      </c>
      <c r="D33" s="136"/>
      <c r="E33" s="137"/>
    </row>
    <row r="34" spans="1:6" ht="33.75" customHeight="1" x14ac:dyDescent="0.45">
      <c r="A34" s="19" t="s">
        <v>214</v>
      </c>
      <c r="B34" s="110">
        <v>0.2</v>
      </c>
      <c r="C34" s="193" t="s">
        <v>215</v>
      </c>
      <c r="D34" s="136"/>
      <c r="E34" s="136"/>
    </row>
    <row r="35" spans="1:6" ht="33.75" customHeight="1" x14ac:dyDescent="0.45">
      <c r="A35" s="15" t="s">
        <v>216</v>
      </c>
      <c r="B35" s="109">
        <v>0.2</v>
      </c>
      <c r="C35" s="196" t="s">
        <v>217</v>
      </c>
      <c r="D35" s="136"/>
      <c r="E35" s="136"/>
    </row>
    <row r="36" spans="1:6" ht="33.75" customHeight="1" x14ac:dyDescent="0.45">
      <c r="A36" s="19" t="s">
        <v>218</v>
      </c>
      <c r="B36" s="110">
        <v>0.15</v>
      </c>
      <c r="C36" s="193" t="s">
        <v>219</v>
      </c>
      <c r="D36" s="136"/>
      <c r="E36" s="136"/>
    </row>
    <row r="37" spans="1:6" ht="33.75" customHeight="1" x14ac:dyDescent="0.45">
      <c r="A37" s="15" t="s">
        <v>220</v>
      </c>
      <c r="B37" s="109">
        <v>0.2</v>
      </c>
      <c r="C37" s="196" t="s">
        <v>221</v>
      </c>
      <c r="D37" s="136"/>
      <c r="E37" s="136"/>
    </row>
    <row r="38" spans="1:6" ht="33.75" customHeight="1" x14ac:dyDescent="0.45">
      <c r="A38" s="19" t="s">
        <v>222</v>
      </c>
      <c r="B38" s="110">
        <v>0.25</v>
      </c>
      <c r="C38" s="193" t="s">
        <v>223</v>
      </c>
      <c r="D38" s="136"/>
      <c r="E38" s="136"/>
    </row>
    <row r="40" spans="1:6" ht="15.75" customHeight="1" x14ac:dyDescent="0.45">
      <c r="A40" s="194" t="s">
        <v>224</v>
      </c>
      <c r="B40" s="136"/>
      <c r="C40" s="136"/>
      <c r="D40" s="136"/>
      <c r="E40" s="137"/>
    </row>
    <row r="41" spans="1:6" ht="15.75" customHeight="1" x14ac:dyDescent="0.45">
      <c r="A41" s="9" t="s">
        <v>68</v>
      </c>
      <c r="B41" s="9" t="s">
        <v>225</v>
      </c>
      <c r="C41" s="9" t="s">
        <v>226</v>
      </c>
      <c r="D41" s="9" t="s">
        <v>227</v>
      </c>
      <c r="E41" s="9" t="s">
        <v>228</v>
      </c>
      <c r="F41" s="9" t="s">
        <v>229</v>
      </c>
    </row>
    <row r="42" spans="1:6" ht="15.75" customHeight="1" x14ac:dyDescent="0.45">
      <c r="A42" s="23" t="s">
        <v>70</v>
      </c>
      <c r="B42" s="23" t="s">
        <v>230</v>
      </c>
      <c r="C42" s="24" t="s">
        <v>231</v>
      </c>
      <c r="D42" s="25" t="s">
        <v>232</v>
      </c>
      <c r="E42" s="26" t="s">
        <v>233</v>
      </c>
      <c r="F42" s="27" t="s">
        <v>234</v>
      </c>
    </row>
    <row r="43" spans="1:6" ht="15.75" customHeight="1" x14ac:dyDescent="0.45">
      <c r="A43" s="28" t="s">
        <v>72</v>
      </c>
      <c r="B43" s="28" t="s">
        <v>235</v>
      </c>
      <c r="C43" s="24" t="s">
        <v>236</v>
      </c>
      <c r="D43" s="25" t="s">
        <v>232</v>
      </c>
      <c r="E43" s="26" t="s">
        <v>233</v>
      </c>
      <c r="F43" s="27" t="s">
        <v>237</v>
      </c>
    </row>
    <row r="44" spans="1:6" ht="15.75" customHeight="1" x14ac:dyDescent="0.45">
      <c r="A44" s="23" t="s">
        <v>238</v>
      </c>
      <c r="B44" s="23" t="s">
        <v>239</v>
      </c>
      <c r="C44" s="24" t="s">
        <v>240</v>
      </c>
      <c r="D44" s="25" t="s">
        <v>241</v>
      </c>
      <c r="E44" s="26" t="s">
        <v>242</v>
      </c>
      <c r="F44" s="27" t="s">
        <v>243</v>
      </c>
    </row>
    <row r="45" spans="1:6" ht="15.75" customHeight="1" x14ac:dyDescent="0.45">
      <c r="A45" s="28" t="s">
        <v>244</v>
      </c>
      <c r="B45" s="28" t="s">
        <v>245</v>
      </c>
      <c r="C45" s="24" t="s">
        <v>246</v>
      </c>
      <c r="D45" s="25" t="s">
        <v>247</v>
      </c>
      <c r="E45" s="26" t="s">
        <v>248</v>
      </c>
      <c r="F45" s="27" t="s">
        <v>249</v>
      </c>
    </row>
    <row r="46" spans="1:6" ht="15.75" customHeight="1" x14ac:dyDescent="0.45">
      <c r="A46" s="23" t="s">
        <v>250</v>
      </c>
      <c r="B46" s="23" t="s">
        <v>251</v>
      </c>
      <c r="C46" s="24" t="s">
        <v>252</v>
      </c>
      <c r="D46" s="25" t="s">
        <v>253</v>
      </c>
      <c r="E46" s="26" t="s">
        <v>254</v>
      </c>
      <c r="F46" s="27" t="s">
        <v>255</v>
      </c>
    </row>
    <row r="47" spans="1:6" ht="15.75" customHeight="1" x14ac:dyDescent="0.45">
      <c r="A47" s="28" t="s">
        <v>256</v>
      </c>
      <c r="B47" s="28" t="s">
        <v>257</v>
      </c>
      <c r="C47" s="24" t="s">
        <v>258</v>
      </c>
      <c r="D47" s="25" t="s">
        <v>241</v>
      </c>
      <c r="E47" s="26" t="s">
        <v>259</v>
      </c>
      <c r="F47" s="27" t="s">
        <v>260</v>
      </c>
    </row>
    <row r="49" spans="1:5" ht="15.75" customHeight="1" x14ac:dyDescent="0.45">
      <c r="A49" s="194" t="s">
        <v>261</v>
      </c>
      <c r="B49" s="136"/>
      <c r="C49" s="136"/>
      <c r="D49" s="136"/>
      <c r="E49" s="137"/>
    </row>
    <row r="50" spans="1:5" ht="21.75" customHeight="1" x14ac:dyDescent="0.45">
      <c r="A50" s="210" t="s">
        <v>262</v>
      </c>
      <c r="B50" s="155"/>
      <c r="C50" s="155"/>
      <c r="D50" s="155"/>
      <c r="E50" s="155"/>
    </row>
    <row r="51" spans="1:5" ht="15.75" customHeight="1" x14ac:dyDescent="0.45">
      <c r="A51" s="9" t="s">
        <v>263</v>
      </c>
      <c r="B51" s="9" t="s">
        <v>264</v>
      </c>
      <c r="C51" s="202" t="s">
        <v>265</v>
      </c>
      <c r="D51" s="136"/>
      <c r="E51" s="137"/>
    </row>
    <row r="52" spans="1:5" ht="25.5" customHeight="1" x14ac:dyDescent="0.45">
      <c r="A52" s="29">
        <v>1</v>
      </c>
      <c r="B52" s="30" t="s">
        <v>266</v>
      </c>
      <c r="C52" s="197" t="s">
        <v>267</v>
      </c>
      <c r="D52" s="136"/>
      <c r="E52" s="136"/>
    </row>
    <row r="53" spans="1:5" ht="25.5" customHeight="1" x14ac:dyDescent="0.45">
      <c r="A53" s="31">
        <v>2</v>
      </c>
      <c r="B53" s="32" t="s">
        <v>268</v>
      </c>
      <c r="C53" s="199" t="s">
        <v>269</v>
      </c>
      <c r="D53" s="136"/>
      <c r="E53" s="136"/>
    </row>
    <row r="54" spans="1:5" ht="25.5" customHeight="1" x14ac:dyDescent="0.45">
      <c r="A54" s="33">
        <v>3</v>
      </c>
      <c r="B54" s="30" t="s">
        <v>270</v>
      </c>
      <c r="C54" s="197" t="s">
        <v>271</v>
      </c>
      <c r="D54" s="136"/>
      <c r="E54" s="136"/>
    </row>
    <row r="55" spans="1:5" ht="25.5" customHeight="1" x14ac:dyDescent="0.45">
      <c r="A55" s="34">
        <v>4</v>
      </c>
      <c r="B55" s="32" t="s">
        <v>272</v>
      </c>
      <c r="C55" s="199" t="s">
        <v>273</v>
      </c>
      <c r="D55" s="136"/>
      <c r="E55" s="136"/>
    </row>
    <row r="56" spans="1:5" ht="25.5" customHeight="1" x14ac:dyDescent="0.45">
      <c r="A56" s="35">
        <v>5</v>
      </c>
      <c r="B56" s="30" t="s">
        <v>274</v>
      </c>
      <c r="C56" s="197" t="s">
        <v>275</v>
      </c>
      <c r="D56" s="136"/>
      <c r="E56" s="136"/>
    </row>
    <row r="58" spans="1:5" ht="15.75" customHeight="1" x14ac:dyDescent="0.45">
      <c r="A58" s="194" t="s">
        <v>276</v>
      </c>
      <c r="B58" s="136"/>
      <c r="C58" s="136"/>
      <c r="D58" s="136"/>
      <c r="E58" s="137"/>
    </row>
    <row r="59" spans="1:5" ht="15.75" customHeight="1" x14ac:dyDescent="0.45">
      <c r="A59" s="9" t="s">
        <v>277</v>
      </c>
      <c r="B59" s="9" t="s">
        <v>264</v>
      </c>
      <c r="C59" s="202" t="s">
        <v>278</v>
      </c>
      <c r="D59" s="136"/>
      <c r="E59" s="137"/>
    </row>
    <row r="60" spans="1:5" ht="30" customHeight="1" x14ac:dyDescent="0.45">
      <c r="A60" s="29">
        <v>1</v>
      </c>
      <c r="B60" s="30" t="s">
        <v>279</v>
      </c>
      <c r="C60" s="197" t="s">
        <v>280</v>
      </c>
      <c r="D60" s="136"/>
      <c r="E60" s="136"/>
    </row>
    <row r="61" spans="1:5" ht="30" customHeight="1" x14ac:dyDescent="0.45">
      <c r="A61" s="31">
        <v>2</v>
      </c>
      <c r="B61" s="32" t="s">
        <v>281</v>
      </c>
      <c r="C61" s="199" t="s">
        <v>282</v>
      </c>
      <c r="D61" s="136"/>
      <c r="E61" s="136"/>
    </row>
    <row r="62" spans="1:5" ht="30" customHeight="1" x14ac:dyDescent="0.45">
      <c r="A62" s="33">
        <v>3</v>
      </c>
      <c r="B62" s="30" t="s">
        <v>283</v>
      </c>
      <c r="C62" s="197" t="s">
        <v>284</v>
      </c>
      <c r="D62" s="136"/>
      <c r="E62" s="136"/>
    </row>
    <row r="63" spans="1:5" ht="30" customHeight="1" x14ac:dyDescent="0.45">
      <c r="A63" s="34">
        <v>4</v>
      </c>
      <c r="B63" s="32" t="s">
        <v>285</v>
      </c>
      <c r="C63" s="199" t="s">
        <v>286</v>
      </c>
      <c r="D63" s="136"/>
      <c r="E63" s="136"/>
    </row>
    <row r="64" spans="1:5" ht="30" customHeight="1" x14ac:dyDescent="0.45">
      <c r="A64" s="35">
        <v>5</v>
      </c>
      <c r="B64" s="30" t="s">
        <v>287</v>
      </c>
      <c r="C64" s="197" t="s">
        <v>288</v>
      </c>
      <c r="D64" s="136"/>
      <c r="E64" s="136"/>
    </row>
    <row r="66" spans="1:5" ht="15.75" customHeight="1" x14ac:dyDescent="0.45">
      <c r="A66" s="194" t="s">
        <v>289</v>
      </c>
      <c r="B66" s="136"/>
      <c r="C66" s="136"/>
      <c r="D66" s="136"/>
      <c r="E66" s="137"/>
    </row>
    <row r="67" spans="1:5" ht="19.5" customHeight="1" x14ac:dyDescent="0.45">
      <c r="A67" s="212" t="s">
        <v>290</v>
      </c>
      <c r="B67" s="155"/>
      <c r="C67" s="155"/>
      <c r="D67" s="155"/>
      <c r="E67" s="155"/>
    </row>
    <row r="68" spans="1:5" ht="15.75" customHeight="1" x14ac:dyDescent="0.45">
      <c r="A68" s="9" t="s">
        <v>291</v>
      </c>
      <c r="B68" s="9" t="s">
        <v>292</v>
      </c>
      <c r="C68" s="202" t="s">
        <v>293</v>
      </c>
      <c r="D68" s="136"/>
      <c r="E68" s="137"/>
    </row>
    <row r="69" spans="1:5" ht="15.75" customHeight="1" x14ac:dyDescent="0.45">
      <c r="A69" s="36" t="s">
        <v>32</v>
      </c>
      <c r="B69" s="37" t="s">
        <v>294</v>
      </c>
      <c r="C69" s="201" t="s">
        <v>295</v>
      </c>
      <c r="D69" s="136"/>
      <c r="E69" s="136"/>
    </row>
    <row r="70" spans="1:5" ht="15.75" customHeight="1" x14ac:dyDescent="0.45">
      <c r="A70" s="38" t="s">
        <v>31</v>
      </c>
      <c r="B70" s="37" t="s">
        <v>296</v>
      </c>
      <c r="C70" s="201" t="s">
        <v>297</v>
      </c>
      <c r="D70" s="136"/>
      <c r="E70" s="136"/>
    </row>
    <row r="71" spans="1:5" ht="15.75" customHeight="1" x14ac:dyDescent="0.45">
      <c r="A71" s="39" t="s">
        <v>28</v>
      </c>
      <c r="B71" s="37" t="s">
        <v>298</v>
      </c>
      <c r="C71" s="201" t="s">
        <v>299</v>
      </c>
      <c r="D71" s="136"/>
      <c r="E71" s="136"/>
    </row>
    <row r="72" spans="1:5" ht="15.75" customHeight="1" x14ac:dyDescent="0.45">
      <c r="A72" s="40" t="s">
        <v>25</v>
      </c>
      <c r="B72" s="37" t="s">
        <v>300</v>
      </c>
      <c r="C72" s="201" t="s">
        <v>301</v>
      </c>
      <c r="D72" s="136"/>
      <c r="E72" s="136"/>
    </row>
    <row r="73" spans="1:5" ht="15.75" customHeight="1" x14ac:dyDescent="0.45">
      <c r="A73" s="41" t="s">
        <v>22</v>
      </c>
      <c r="B73" s="37" t="s">
        <v>302</v>
      </c>
      <c r="C73" s="201" t="s">
        <v>303</v>
      </c>
      <c r="D73" s="136"/>
      <c r="E73" s="136"/>
    </row>
    <row r="75" spans="1:5" ht="15.75" customHeight="1" x14ac:dyDescent="0.45">
      <c r="A75" s="194" t="s">
        <v>304</v>
      </c>
      <c r="B75" s="136"/>
      <c r="C75" s="136"/>
      <c r="D75" s="136"/>
      <c r="E75" s="137"/>
    </row>
    <row r="76" spans="1:5" ht="30" customHeight="1" x14ac:dyDescent="0.45">
      <c r="A76" s="19" t="s">
        <v>84</v>
      </c>
      <c r="B76" s="110">
        <v>0.4</v>
      </c>
      <c r="C76" s="197" t="s">
        <v>305</v>
      </c>
      <c r="D76" s="136"/>
      <c r="E76" s="136"/>
    </row>
    <row r="77" spans="1:5" ht="30" customHeight="1" x14ac:dyDescent="0.45">
      <c r="A77" s="15" t="s">
        <v>86</v>
      </c>
      <c r="B77" s="109">
        <v>0.4</v>
      </c>
      <c r="C77" s="199" t="s">
        <v>306</v>
      </c>
      <c r="D77" s="136"/>
      <c r="E77" s="136"/>
    </row>
    <row r="78" spans="1:5" ht="30" customHeight="1" x14ac:dyDescent="0.45">
      <c r="A78" s="19" t="s">
        <v>88</v>
      </c>
      <c r="B78" s="110">
        <v>0.2</v>
      </c>
      <c r="C78" s="197" t="s">
        <v>307</v>
      </c>
      <c r="D78" s="136"/>
      <c r="E78" s="136"/>
    </row>
    <row r="79" spans="1:5" ht="15.75" customHeight="1" x14ac:dyDescent="0.45">
      <c r="A79" s="207" t="s">
        <v>308</v>
      </c>
      <c r="B79" s="155"/>
      <c r="C79" s="155"/>
      <c r="D79" s="155"/>
      <c r="E79" s="155"/>
    </row>
    <row r="81" spans="1:6" ht="15" customHeight="1" x14ac:dyDescent="0.45">
      <c r="A81" s="42" t="s">
        <v>309</v>
      </c>
    </row>
    <row r="82" spans="1:6" ht="15" customHeight="1" x14ac:dyDescent="0.45"/>
    <row r="83" spans="1:6" ht="15" customHeight="1" x14ac:dyDescent="0.45"/>
    <row r="84" spans="1:6" ht="15" customHeight="1" x14ac:dyDescent="0.45"/>
    <row r="86" spans="1:6" ht="14.25" customHeight="1" x14ac:dyDescent="0.45">
      <c r="A86" s="43" t="s">
        <v>310</v>
      </c>
      <c r="B86" s="44"/>
      <c r="C86" s="44"/>
      <c r="D86" s="44"/>
      <c r="E86" s="44"/>
      <c r="F86" s="44"/>
    </row>
    <row r="87" spans="1:6" ht="43.5" customHeight="1" x14ac:dyDescent="0.45">
      <c r="A87" s="198" t="s">
        <v>311</v>
      </c>
      <c r="B87" s="155"/>
      <c r="C87" s="155"/>
      <c r="D87" s="155"/>
      <c r="E87" s="155"/>
      <c r="F87" s="155"/>
    </row>
    <row r="89" spans="1:6" ht="14.25" customHeight="1" x14ac:dyDescent="0.45">
      <c r="A89" s="12" t="s">
        <v>312</v>
      </c>
      <c r="B89" s="12" t="s">
        <v>313</v>
      </c>
      <c r="C89" s="12" t="s">
        <v>314</v>
      </c>
      <c r="D89" s="12" t="s">
        <v>315</v>
      </c>
      <c r="E89" s="12" t="s">
        <v>291</v>
      </c>
      <c r="F89" s="12" t="s">
        <v>316</v>
      </c>
    </row>
    <row r="90" spans="1:6" ht="14.25" customHeight="1" x14ac:dyDescent="0.45">
      <c r="A90" s="45">
        <v>11</v>
      </c>
      <c r="B90" s="45">
        <v>1</v>
      </c>
      <c r="C90" s="45">
        <v>1</v>
      </c>
      <c r="D90" s="45">
        <v>1</v>
      </c>
      <c r="E90" s="46" t="s">
        <v>32</v>
      </c>
      <c r="F90" s="45" t="s">
        <v>317</v>
      </c>
    </row>
    <row r="91" spans="1:6" ht="14.25" customHeight="1" x14ac:dyDescent="0.45">
      <c r="A91" s="45">
        <v>21</v>
      </c>
      <c r="B91" s="45">
        <v>2</v>
      </c>
      <c r="C91" s="45">
        <v>1</v>
      </c>
      <c r="D91" s="45">
        <v>2</v>
      </c>
      <c r="E91" s="46" t="s">
        <v>32</v>
      </c>
      <c r="F91" s="45" t="s">
        <v>317</v>
      </c>
    </row>
    <row r="92" spans="1:6" ht="14.25" customHeight="1" x14ac:dyDescent="0.45">
      <c r="A92" s="45">
        <v>31</v>
      </c>
      <c r="B92" s="45">
        <v>3</v>
      </c>
      <c r="C92" s="45">
        <v>1</v>
      </c>
      <c r="D92" s="45">
        <v>3</v>
      </c>
      <c r="E92" s="46" t="s">
        <v>32</v>
      </c>
      <c r="F92" s="45" t="s">
        <v>317</v>
      </c>
    </row>
    <row r="93" spans="1:6" ht="14.25" customHeight="1" x14ac:dyDescent="0.45">
      <c r="A93" s="45">
        <v>41</v>
      </c>
      <c r="B93" s="45">
        <v>4</v>
      </c>
      <c r="C93" s="45">
        <v>1</v>
      </c>
      <c r="D93" s="45">
        <v>4</v>
      </c>
      <c r="E93" s="46" t="s">
        <v>32</v>
      </c>
      <c r="F93" s="45" t="s">
        <v>317</v>
      </c>
    </row>
    <row r="94" spans="1:6" ht="14.25" customHeight="1" x14ac:dyDescent="0.45">
      <c r="A94" s="45">
        <v>12</v>
      </c>
      <c r="B94" s="45">
        <v>1</v>
      </c>
      <c r="C94" s="45">
        <v>2</v>
      </c>
      <c r="D94" s="45">
        <v>5</v>
      </c>
      <c r="E94" s="46" t="s">
        <v>32</v>
      </c>
      <c r="F94" s="45" t="s">
        <v>317</v>
      </c>
    </row>
    <row r="95" spans="1:6" ht="14.25" customHeight="1" x14ac:dyDescent="0.45">
      <c r="A95" s="45">
        <v>22</v>
      </c>
      <c r="B95" s="45">
        <v>2</v>
      </c>
      <c r="C95" s="45">
        <v>2</v>
      </c>
      <c r="D95" s="45">
        <v>6</v>
      </c>
      <c r="E95" s="47" t="s">
        <v>31</v>
      </c>
      <c r="F95" s="45" t="s">
        <v>318</v>
      </c>
    </row>
    <row r="96" spans="1:6" ht="14.25" customHeight="1" x14ac:dyDescent="0.45">
      <c r="A96" s="45">
        <v>51</v>
      </c>
      <c r="B96" s="45">
        <v>5</v>
      </c>
      <c r="C96" s="45">
        <v>1</v>
      </c>
      <c r="D96" s="45">
        <v>7</v>
      </c>
      <c r="E96" s="47" t="s">
        <v>31</v>
      </c>
      <c r="F96" s="45" t="s">
        <v>318</v>
      </c>
    </row>
    <row r="97" spans="1:6" ht="14.25" customHeight="1" x14ac:dyDescent="0.45">
      <c r="A97" s="45">
        <v>32</v>
      </c>
      <c r="B97" s="45">
        <v>3</v>
      </c>
      <c r="C97" s="45">
        <v>2</v>
      </c>
      <c r="D97" s="45">
        <v>8</v>
      </c>
      <c r="E97" s="47" t="s">
        <v>31</v>
      </c>
      <c r="F97" s="45" t="s">
        <v>318</v>
      </c>
    </row>
    <row r="98" spans="1:6" ht="14.25" customHeight="1" x14ac:dyDescent="0.45">
      <c r="A98" s="45">
        <v>42</v>
      </c>
      <c r="B98" s="45">
        <v>4</v>
      </c>
      <c r="C98" s="45">
        <v>2</v>
      </c>
      <c r="D98" s="45">
        <v>9</v>
      </c>
      <c r="E98" s="47" t="s">
        <v>31</v>
      </c>
      <c r="F98" s="45" t="s">
        <v>318</v>
      </c>
    </row>
    <row r="99" spans="1:6" ht="14.25" customHeight="1" x14ac:dyDescent="0.45">
      <c r="A99" s="45">
        <v>13</v>
      </c>
      <c r="B99" s="45">
        <v>1</v>
      </c>
      <c r="C99" s="45">
        <v>3</v>
      </c>
      <c r="D99" s="45">
        <v>10</v>
      </c>
      <c r="E99" s="47" t="s">
        <v>31</v>
      </c>
      <c r="F99" s="45" t="s">
        <v>318</v>
      </c>
    </row>
    <row r="100" spans="1:6" ht="14.25" customHeight="1" x14ac:dyDescent="0.45">
      <c r="A100" s="45">
        <v>23</v>
      </c>
      <c r="B100" s="45">
        <v>2</v>
      </c>
      <c r="C100" s="45">
        <v>3</v>
      </c>
      <c r="D100" s="45">
        <v>11</v>
      </c>
      <c r="E100" s="47" t="s">
        <v>31</v>
      </c>
      <c r="F100" s="45" t="s">
        <v>318</v>
      </c>
    </row>
    <row r="101" spans="1:6" ht="14.25" customHeight="1" x14ac:dyDescent="0.45">
      <c r="A101" s="45">
        <v>52</v>
      </c>
      <c r="B101" s="45">
        <v>5</v>
      </c>
      <c r="C101" s="45">
        <v>2</v>
      </c>
      <c r="D101" s="45">
        <v>12</v>
      </c>
      <c r="E101" s="48" t="s">
        <v>28</v>
      </c>
      <c r="F101" s="45" t="s">
        <v>319</v>
      </c>
    </row>
    <row r="102" spans="1:6" ht="14.25" customHeight="1" x14ac:dyDescent="0.45">
      <c r="A102" s="45">
        <v>33</v>
      </c>
      <c r="B102" s="45">
        <v>3</v>
      </c>
      <c r="C102" s="45">
        <v>3</v>
      </c>
      <c r="D102" s="45">
        <v>13</v>
      </c>
      <c r="E102" s="48" t="s">
        <v>28</v>
      </c>
      <c r="F102" s="45" t="s">
        <v>319</v>
      </c>
    </row>
    <row r="103" spans="1:6" ht="14.25" customHeight="1" x14ac:dyDescent="0.45">
      <c r="A103" s="45">
        <v>43</v>
      </c>
      <c r="B103" s="45">
        <v>4</v>
      </c>
      <c r="C103" s="45">
        <v>3</v>
      </c>
      <c r="D103" s="45">
        <v>14</v>
      </c>
      <c r="E103" s="48" t="s">
        <v>28</v>
      </c>
      <c r="F103" s="45" t="s">
        <v>319</v>
      </c>
    </row>
    <row r="104" spans="1:6" ht="14.25" customHeight="1" x14ac:dyDescent="0.45">
      <c r="A104" s="45">
        <v>14</v>
      </c>
      <c r="B104" s="45">
        <v>1</v>
      </c>
      <c r="C104" s="45">
        <v>4</v>
      </c>
      <c r="D104" s="45">
        <v>15</v>
      </c>
      <c r="E104" s="48" t="s">
        <v>28</v>
      </c>
      <c r="F104" s="45" t="s">
        <v>319</v>
      </c>
    </row>
    <row r="105" spans="1:6" ht="14.25" customHeight="1" x14ac:dyDescent="0.45">
      <c r="A105" s="45">
        <v>24</v>
      </c>
      <c r="B105" s="45">
        <v>2</v>
      </c>
      <c r="C105" s="45">
        <v>4</v>
      </c>
      <c r="D105" s="45">
        <v>16</v>
      </c>
      <c r="E105" s="49" t="s">
        <v>25</v>
      </c>
      <c r="F105" s="45" t="s">
        <v>320</v>
      </c>
    </row>
    <row r="106" spans="1:6" ht="14.25" customHeight="1" x14ac:dyDescent="0.45">
      <c r="A106" s="45">
        <v>53</v>
      </c>
      <c r="B106" s="45">
        <v>5</v>
      </c>
      <c r="C106" s="45">
        <v>3</v>
      </c>
      <c r="D106" s="45">
        <v>17</v>
      </c>
      <c r="E106" s="49" t="s">
        <v>25</v>
      </c>
      <c r="F106" s="45" t="s">
        <v>320</v>
      </c>
    </row>
    <row r="107" spans="1:6" ht="14.25" customHeight="1" x14ac:dyDescent="0.45">
      <c r="A107" s="45">
        <v>34</v>
      </c>
      <c r="B107" s="45">
        <v>3</v>
      </c>
      <c r="C107" s="45">
        <v>4</v>
      </c>
      <c r="D107" s="45">
        <v>18</v>
      </c>
      <c r="E107" s="49" t="s">
        <v>25</v>
      </c>
      <c r="F107" s="45" t="s">
        <v>320</v>
      </c>
    </row>
    <row r="108" spans="1:6" ht="14.25" customHeight="1" x14ac:dyDescent="0.45">
      <c r="A108" s="45">
        <v>44</v>
      </c>
      <c r="B108" s="45">
        <v>4</v>
      </c>
      <c r="C108" s="45">
        <v>4</v>
      </c>
      <c r="D108" s="45">
        <v>19</v>
      </c>
      <c r="E108" s="49" t="s">
        <v>25</v>
      </c>
      <c r="F108" s="45" t="s">
        <v>320</v>
      </c>
    </row>
    <row r="109" spans="1:6" ht="14.25" customHeight="1" x14ac:dyDescent="0.45">
      <c r="A109" s="45">
        <v>15</v>
      </c>
      <c r="B109" s="45">
        <v>1</v>
      </c>
      <c r="C109" s="45">
        <v>5</v>
      </c>
      <c r="D109" s="45">
        <v>20</v>
      </c>
      <c r="E109" s="50" t="s">
        <v>22</v>
      </c>
      <c r="F109" s="45" t="s">
        <v>321</v>
      </c>
    </row>
    <row r="110" spans="1:6" ht="14.25" customHeight="1" x14ac:dyDescent="0.45">
      <c r="A110" s="45">
        <v>25</v>
      </c>
      <c r="B110" s="45">
        <v>2</v>
      </c>
      <c r="C110" s="45">
        <v>5</v>
      </c>
      <c r="D110" s="45">
        <v>21</v>
      </c>
      <c r="E110" s="50" t="s">
        <v>22</v>
      </c>
      <c r="F110" s="45" t="s">
        <v>321</v>
      </c>
    </row>
    <row r="111" spans="1:6" ht="14.25" customHeight="1" x14ac:dyDescent="0.45">
      <c r="A111" s="45">
        <v>54</v>
      </c>
      <c r="B111" s="45">
        <v>5</v>
      </c>
      <c r="C111" s="45">
        <v>4</v>
      </c>
      <c r="D111" s="45">
        <v>22</v>
      </c>
      <c r="E111" s="50" t="s">
        <v>22</v>
      </c>
      <c r="F111" s="45" t="s">
        <v>321</v>
      </c>
    </row>
    <row r="112" spans="1:6" ht="14.25" customHeight="1" x14ac:dyDescent="0.45">
      <c r="A112" s="45">
        <v>35</v>
      </c>
      <c r="B112" s="45">
        <v>3</v>
      </c>
      <c r="C112" s="45">
        <v>5</v>
      </c>
      <c r="D112" s="45">
        <v>23</v>
      </c>
      <c r="E112" s="50" t="s">
        <v>22</v>
      </c>
      <c r="F112" s="45" t="s">
        <v>321</v>
      </c>
    </row>
    <row r="113" spans="1:6" ht="14.25" customHeight="1" x14ac:dyDescent="0.45">
      <c r="A113" s="45">
        <v>45</v>
      </c>
      <c r="B113" s="45">
        <v>4</v>
      </c>
      <c r="C113" s="45">
        <v>5</v>
      </c>
      <c r="D113" s="45">
        <v>24</v>
      </c>
      <c r="E113" s="50" t="s">
        <v>22</v>
      </c>
      <c r="F113" s="45" t="s">
        <v>321</v>
      </c>
    </row>
    <row r="114" spans="1:6" ht="14.25" customHeight="1" x14ac:dyDescent="0.45">
      <c r="A114" s="45">
        <v>55</v>
      </c>
      <c r="B114" s="45">
        <v>5</v>
      </c>
      <c r="C114" s="45">
        <v>5</v>
      </c>
      <c r="D114" s="45">
        <v>25</v>
      </c>
      <c r="E114" s="50" t="s">
        <v>22</v>
      </c>
      <c r="F114" s="45" t="s">
        <v>321</v>
      </c>
    </row>
    <row r="116" spans="1:6" ht="31.5" customHeight="1" x14ac:dyDescent="0.45">
      <c r="A116" s="198" t="s">
        <v>322</v>
      </c>
      <c r="B116" s="155"/>
      <c r="C116" s="155"/>
      <c r="D116" s="155"/>
      <c r="E116" s="155"/>
      <c r="F116" s="155"/>
    </row>
    <row r="118" spans="1:6" ht="14.25" customHeight="1" x14ac:dyDescent="0.45">
      <c r="A118" s="43" t="s">
        <v>323</v>
      </c>
      <c r="B118" s="44"/>
      <c r="C118" s="44"/>
      <c r="D118" s="44"/>
      <c r="E118" s="44"/>
      <c r="F118" s="44"/>
    </row>
    <row r="119" spans="1:6" ht="33.75" customHeight="1" x14ac:dyDescent="0.45">
      <c r="A119" s="198" t="s">
        <v>324</v>
      </c>
      <c r="B119" s="155"/>
      <c r="C119" s="155"/>
      <c r="D119" s="155"/>
      <c r="E119" s="155"/>
      <c r="F119" s="155"/>
    </row>
    <row r="121" spans="1:6" ht="14.25" customHeight="1" x14ac:dyDescent="0.45">
      <c r="A121" s="51" t="s">
        <v>325</v>
      </c>
      <c r="B121" s="203" t="s">
        <v>326</v>
      </c>
      <c r="C121" s="155"/>
      <c r="D121" s="155"/>
      <c r="E121" s="51" t="s">
        <v>327</v>
      </c>
    </row>
    <row r="122" spans="1:6" ht="14.25" customHeight="1" x14ac:dyDescent="0.45">
      <c r="A122" s="52" t="s">
        <v>44</v>
      </c>
      <c r="B122" s="204" t="s">
        <v>328</v>
      </c>
      <c r="C122" s="205"/>
      <c r="D122" s="206"/>
      <c r="E122" s="53"/>
    </row>
    <row r="123" spans="1:6" ht="14.25" customHeight="1" x14ac:dyDescent="0.45">
      <c r="A123" s="54" t="s">
        <v>45</v>
      </c>
      <c r="B123" s="204" t="s">
        <v>329</v>
      </c>
      <c r="C123" s="205"/>
      <c r="D123" s="206"/>
      <c r="E123" s="53"/>
    </row>
    <row r="124" spans="1:6" ht="14.25" customHeight="1" x14ac:dyDescent="0.45">
      <c r="A124" s="55" t="s">
        <v>46</v>
      </c>
      <c r="B124" s="204" t="s">
        <v>330</v>
      </c>
      <c r="C124" s="205"/>
      <c r="D124" s="206"/>
      <c r="E124" s="53"/>
    </row>
    <row r="127" spans="1:6" ht="15.75" customHeight="1" x14ac:dyDescent="0.45">
      <c r="A127" s="92" t="s">
        <v>331</v>
      </c>
      <c r="B127" s="93"/>
      <c r="C127" s="93"/>
      <c r="D127" s="93"/>
      <c r="E127" s="93"/>
      <c r="F127" s="93"/>
    </row>
    <row r="129" spans="1:6" x14ac:dyDescent="0.45">
      <c r="A129" s="208" t="s">
        <v>332</v>
      </c>
      <c r="B129" s="155"/>
      <c r="C129" s="155"/>
      <c r="D129" s="155"/>
      <c r="E129" s="155"/>
      <c r="F129" s="155"/>
    </row>
    <row r="130" spans="1:6" x14ac:dyDescent="0.45">
      <c r="A130" s="94" t="s">
        <v>333</v>
      </c>
      <c r="B130" s="94" t="s">
        <v>334</v>
      </c>
      <c r="C130" s="94" t="s">
        <v>335</v>
      </c>
      <c r="D130" s="94" t="s">
        <v>336</v>
      </c>
      <c r="E130" s="94" t="s">
        <v>337</v>
      </c>
      <c r="F130" s="94" t="s">
        <v>338</v>
      </c>
    </row>
    <row r="131" spans="1:6" ht="57" customHeight="1" x14ac:dyDescent="0.45">
      <c r="A131" s="95" t="s">
        <v>84</v>
      </c>
      <c r="B131" s="95" t="s">
        <v>339</v>
      </c>
      <c r="C131" s="95" t="s">
        <v>340</v>
      </c>
      <c r="D131" s="95" t="s">
        <v>341</v>
      </c>
      <c r="E131" s="95" t="s">
        <v>342</v>
      </c>
      <c r="F131" s="95" t="s">
        <v>343</v>
      </c>
    </row>
    <row r="132" spans="1:6" ht="57" customHeight="1" x14ac:dyDescent="0.45">
      <c r="A132" s="95" t="s">
        <v>86</v>
      </c>
      <c r="B132" s="95" t="s">
        <v>344</v>
      </c>
      <c r="C132" s="95" t="s">
        <v>345</v>
      </c>
      <c r="D132" s="95" t="s">
        <v>341</v>
      </c>
      <c r="E132" s="95" t="s">
        <v>346</v>
      </c>
      <c r="F132" s="95" t="s">
        <v>347</v>
      </c>
    </row>
    <row r="133" spans="1:6" ht="28.5" customHeight="1" x14ac:dyDescent="0.45">
      <c r="A133" s="95" t="s">
        <v>88</v>
      </c>
      <c r="B133" s="95" t="s">
        <v>348</v>
      </c>
      <c r="C133" s="95" t="s">
        <v>349</v>
      </c>
      <c r="D133" s="95" t="s">
        <v>341</v>
      </c>
      <c r="E133" s="95" t="s">
        <v>350</v>
      </c>
      <c r="F133" s="95" t="s">
        <v>351</v>
      </c>
    </row>
    <row r="136" spans="1:6" x14ac:dyDescent="0.45">
      <c r="A136" s="188" t="s">
        <v>352</v>
      </c>
      <c r="B136" s="155"/>
      <c r="C136" s="155"/>
      <c r="D136" s="155"/>
      <c r="E136" s="155"/>
      <c r="F136" s="155"/>
    </row>
    <row r="139" spans="1:6" x14ac:dyDescent="0.45">
      <c r="A139" s="92" t="s">
        <v>353</v>
      </c>
      <c r="B139" s="93"/>
      <c r="C139" s="93"/>
      <c r="D139" s="93"/>
      <c r="E139" s="93"/>
      <c r="F139" s="93"/>
    </row>
    <row r="141" spans="1:6" x14ac:dyDescent="0.45">
      <c r="A141" s="200" t="s">
        <v>354</v>
      </c>
      <c r="B141" s="155"/>
      <c r="C141" s="155"/>
      <c r="D141" s="155"/>
      <c r="E141" s="155"/>
      <c r="F141" s="155"/>
    </row>
    <row r="143" spans="1:6" x14ac:dyDescent="0.45">
      <c r="A143" s="94" t="s">
        <v>291</v>
      </c>
      <c r="B143" s="94" t="s">
        <v>355</v>
      </c>
      <c r="C143" s="94" t="s">
        <v>356</v>
      </c>
    </row>
    <row r="144" spans="1:6" x14ac:dyDescent="0.45">
      <c r="A144" s="96" t="s">
        <v>22</v>
      </c>
      <c r="B144" s="97" t="s">
        <v>357</v>
      </c>
      <c r="C144" s="97" t="s">
        <v>358</v>
      </c>
    </row>
    <row r="145" spans="1:3" x14ac:dyDescent="0.45">
      <c r="A145" s="98" t="s">
        <v>25</v>
      </c>
      <c r="B145" s="97" t="s">
        <v>359</v>
      </c>
      <c r="C145" s="97" t="s">
        <v>360</v>
      </c>
    </row>
    <row r="146" spans="1:3" x14ac:dyDescent="0.45">
      <c r="A146" s="99" t="s">
        <v>28</v>
      </c>
      <c r="B146" s="97" t="s">
        <v>361</v>
      </c>
      <c r="C146" s="97" t="s">
        <v>362</v>
      </c>
    </row>
    <row r="147" spans="1:3" ht="15.75" customHeight="1" x14ac:dyDescent="0.45">
      <c r="A147" s="100" t="s">
        <v>31</v>
      </c>
      <c r="B147" s="97" t="s">
        <v>363</v>
      </c>
      <c r="C147" s="97" t="s">
        <v>364</v>
      </c>
    </row>
    <row r="148" spans="1:3" x14ac:dyDescent="0.45">
      <c r="A148" s="101" t="s">
        <v>32</v>
      </c>
      <c r="B148" s="97" t="s">
        <v>365</v>
      </c>
      <c r="C148" s="97" t="s">
        <v>366</v>
      </c>
    </row>
  </sheetData>
  <mergeCells count="63">
    <mergeCell ref="C51:E51"/>
    <mergeCell ref="C60:E60"/>
    <mergeCell ref="C36:E36"/>
    <mergeCell ref="C27:E27"/>
    <mergeCell ref="A3:E3"/>
    <mergeCell ref="C38:E38"/>
    <mergeCell ref="B124:D124"/>
    <mergeCell ref="C72:E72"/>
    <mergeCell ref="A50:E50"/>
    <mergeCell ref="C28:E28"/>
    <mergeCell ref="C19:E19"/>
    <mergeCell ref="C37:E37"/>
    <mergeCell ref="C53:E53"/>
    <mergeCell ref="B123:D123"/>
    <mergeCell ref="C69:E69"/>
    <mergeCell ref="C18:E18"/>
    <mergeCell ref="A5:E5"/>
    <mergeCell ref="C78:E78"/>
    <mergeCell ref="A32:E32"/>
    <mergeCell ref="A14:E14"/>
    <mergeCell ref="A141:F141"/>
    <mergeCell ref="C70:E70"/>
    <mergeCell ref="A75:E75"/>
    <mergeCell ref="A66:E66"/>
    <mergeCell ref="C68:E68"/>
    <mergeCell ref="C77:E77"/>
    <mergeCell ref="B121:D121"/>
    <mergeCell ref="B122:D122"/>
    <mergeCell ref="C73:E73"/>
    <mergeCell ref="A119:F119"/>
    <mergeCell ref="A136:F136"/>
    <mergeCell ref="A79:E79"/>
    <mergeCell ref="A129:F129"/>
    <mergeCell ref="C76:E76"/>
    <mergeCell ref="C71:E71"/>
    <mergeCell ref="A87:F87"/>
    <mergeCell ref="C52:E52"/>
    <mergeCell ref="A116:F116"/>
    <mergeCell ref="C23:E23"/>
    <mergeCell ref="A25:E25"/>
    <mergeCell ref="C54:E54"/>
    <mergeCell ref="C29:E29"/>
    <mergeCell ref="C55:E55"/>
    <mergeCell ref="A58:E58"/>
    <mergeCell ref="A40:E40"/>
    <mergeCell ref="A67:E67"/>
    <mergeCell ref="C61:E61"/>
    <mergeCell ref="C62:E62"/>
    <mergeCell ref="C63:E63"/>
    <mergeCell ref="C64:E64"/>
    <mergeCell ref="C56:E56"/>
    <mergeCell ref="C59:E59"/>
    <mergeCell ref="A15:E15"/>
    <mergeCell ref="C22:E22"/>
    <mergeCell ref="A49:E49"/>
    <mergeCell ref="C30:E30"/>
    <mergeCell ref="A17:E17"/>
    <mergeCell ref="C34:E34"/>
    <mergeCell ref="C33:E33"/>
    <mergeCell ref="C26:E26"/>
    <mergeCell ref="C35:E35"/>
    <mergeCell ref="C20:E20"/>
    <mergeCell ref="C21:E2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2C230"/>
  </sheetPr>
  <dimension ref="C2:I78"/>
  <sheetViews>
    <sheetView showGridLines="0" zoomScale="99" zoomScaleNormal="100" workbookViewId="0">
      <selection activeCell="D10" sqref="D10"/>
    </sheetView>
  </sheetViews>
  <sheetFormatPr defaultColWidth="8.59765625" defaultRowHeight="14.25" x14ac:dyDescent="0.45"/>
  <cols>
    <col min="1" max="1" width="2" customWidth="1"/>
    <col min="2" max="2" width="3" customWidth="1"/>
    <col min="3" max="3" width="58.796875" customWidth="1"/>
    <col min="4" max="4" width="25.33203125" bestFit="1" customWidth="1"/>
    <col min="5" max="5" width="27.19921875" bestFit="1" customWidth="1"/>
    <col min="6" max="6" width="20.59765625" bestFit="1" customWidth="1"/>
    <col min="7" max="7" width="38" customWidth="1"/>
    <col min="8" max="8" width="16.73046875" bestFit="1" customWidth="1"/>
    <col min="9" max="9" width="20" customWidth="1"/>
  </cols>
  <sheetData>
    <row r="2" spans="3:7" ht="19.5" customHeight="1" x14ac:dyDescent="0.5">
      <c r="C2" s="13" t="s">
        <v>367</v>
      </c>
    </row>
    <row r="3" spans="3:7" ht="15.75" customHeight="1" x14ac:dyDescent="0.45">
      <c r="C3" s="209" t="s">
        <v>368</v>
      </c>
      <c r="D3" s="155"/>
      <c r="E3" s="155"/>
      <c r="F3" s="155"/>
      <c r="G3" s="155"/>
    </row>
    <row r="4" spans="3:7" x14ac:dyDescent="0.45">
      <c r="C4" s="112" t="s">
        <v>58</v>
      </c>
      <c r="D4" s="124" t="str">
        <f>Config!B6</f>
        <v>Test</v>
      </c>
      <c r="F4" s="112" t="s">
        <v>61</v>
      </c>
      <c r="G4" s="124" t="str">
        <f>Config!B7</f>
        <v>Satu</v>
      </c>
    </row>
    <row r="5" spans="3:7" ht="15.75" customHeight="1" x14ac:dyDescent="0.45">
      <c r="C5" s="56" t="s">
        <v>369</v>
      </c>
      <c r="D5" s="134">
        <v>46327</v>
      </c>
      <c r="E5" s="56" t="s">
        <v>370</v>
      </c>
      <c r="F5" s="57" t="s">
        <v>371</v>
      </c>
    </row>
    <row r="7" spans="3:7" ht="19.5" customHeight="1" x14ac:dyDescent="0.45">
      <c r="C7" s="213" t="s">
        <v>372</v>
      </c>
      <c r="D7" s="155"/>
      <c r="E7" s="155"/>
      <c r="F7" s="155"/>
      <c r="G7" s="155"/>
    </row>
    <row r="8" spans="3:7" ht="15.75" customHeight="1" x14ac:dyDescent="0.45">
      <c r="C8" s="58" t="s">
        <v>373</v>
      </c>
      <c r="D8" s="59">
        <v>500</v>
      </c>
      <c r="E8" t="s">
        <v>374</v>
      </c>
    </row>
    <row r="9" spans="3:7" ht="15.75" customHeight="1" x14ac:dyDescent="0.45">
      <c r="C9" s="58" t="s">
        <v>375</v>
      </c>
      <c r="D9" s="59">
        <v>500</v>
      </c>
    </row>
    <row r="10" spans="3:7" ht="15.75" customHeight="1" x14ac:dyDescent="0.45">
      <c r="C10" s="58" t="s">
        <v>376</v>
      </c>
      <c r="D10" s="59">
        <v>100</v>
      </c>
    </row>
    <row r="11" spans="3:7" ht="15.75" customHeight="1" x14ac:dyDescent="0.45">
      <c r="C11" s="58" t="s">
        <v>377</v>
      </c>
      <c r="D11" s="59">
        <v>77.599999999999994</v>
      </c>
    </row>
    <row r="12" spans="3:7" ht="15.75" customHeight="1" x14ac:dyDescent="0.45">
      <c r="C12" s="56" t="s">
        <v>378</v>
      </c>
      <c r="D12" s="60">
        <f>D9/D10</f>
        <v>5</v>
      </c>
    </row>
    <row r="13" spans="3:7" ht="15.75" customHeight="1" x14ac:dyDescent="0.45">
      <c r="C13" s="56" t="s">
        <v>379</v>
      </c>
      <c r="D13" s="61">
        <f>D9-D10</f>
        <v>400</v>
      </c>
    </row>
    <row r="14" spans="3:7" ht="15.75" customHeight="1" x14ac:dyDescent="0.45">
      <c r="C14" s="56" t="s">
        <v>380</v>
      </c>
      <c r="D14" s="60">
        <f>D9/D8</f>
        <v>1</v>
      </c>
    </row>
    <row r="15" spans="3:7" ht="15.75" customHeight="1" x14ac:dyDescent="0.45">
      <c r="C15" s="56" t="s">
        <v>381</v>
      </c>
      <c r="D15" s="61">
        <f>D9-D8</f>
        <v>0</v>
      </c>
    </row>
    <row r="17" spans="3:7" ht="19.5" customHeight="1" x14ac:dyDescent="0.45">
      <c r="C17" s="213" t="s">
        <v>382</v>
      </c>
      <c r="D17" s="155"/>
      <c r="E17" s="155"/>
      <c r="F17" s="155"/>
      <c r="G17" s="155"/>
    </row>
    <row r="18" spans="3:7" ht="15.75" customHeight="1" x14ac:dyDescent="0.45">
      <c r="C18" s="58" t="s">
        <v>194</v>
      </c>
      <c r="D18" s="62">
        <v>0.82</v>
      </c>
      <c r="E18" s="125">
        <f>Referensi_Threshold!B19</f>
        <v>0.25</v>
      </c>
      <c r="F18" s="126">
        <f t="shared" ref="F18:F23" si="0">D18*E18</f>
        <v>0.20499999999999999</v>
      </c>
    </row>
    <row r="19" spans="3:7" ht="15.75" customHeight="1" x14ac:dyDescent="0.45">
      <c r="C19" s="58" t="s">
        <v>196</v>
      </c>
      <c r="D19" s="62">
        <v>0.8</v>
      </c>
      <c r="E19" s="125">
        <f>Referensi_Threshold!B20</f>
        <v>0.2</v>
      </c>
      <c r="F19" s="126">
        <f t="shared" si="0"/>
        <v>0.16000000000000003</v>
      </c>
    </row>
    <row r="20" spans="3:7" ht="15.75" customHeight="1" x14ac:dyDescent="0.45">
      <c r="C20" s="58" t="s">
        <v>198</v>
      </c>
      <c r="D20" s="62">
        <v>0.75</v>
      </c>
      <c r="E20" s="125">
        <f>Referensi_Threshold!B21</f>
        <v>0.2</v>
      </c>
      <c r="F20" s="126">
        <f t="shared" si="0"/>
        <v>0.15000000000000002</v>
      </c>
    </row>
    <row r="21" spans="3:7" ht="15.75" customHeight="1" x14ac:dyDescent="0.45">
      <c r="C21" s="58" t="s">
        <v>200</v>
      </c>
      <c r="D21" s="62">
        <v>0.85</v>
      </c>
      <c r="E21" s="125">
        <f>Referensi_Threshold!B22</f>
        <v>0.2</v>
      </c>
      <c r="F21" s="126">
        <f t="shared" si="0"/>
        <v>0.17</v>
      </c>
    </row>
    <row r="22" spans="3:7" ht="15.75" customHeight="1" x14ac:dyDescent="0.45">
      <c r="C22" s="58" t="s">
        <v>202</v>
      </c>
      <c r="D22" s="62">
        <v>0.8</v>
      </c>
      <c r="E22" s="125">
        <f>Referensi_Threshold!B23</f>
        <v>0.15</v>
      </c>
      <c r="F22" s="126">
        <f t="shared" si="0"/>
        <v>0.12</v>
      </c>
    </row>
    <row r="23" spans="3:7" ht="15.75" customHeight="1" x14ac:dyDescent="0.45">
      <c r="C23" s="58" t="s">
        <v>383</v>
      </c>
      <c r="D23" s="62">
        <v>0.8</v>
      </c>
      <c r="E23" s="125">
        <f>Referensi_Threshold!B24</f>
        <v>0</v>
      </c>
      <c r="F23" s="126">
        <f t="shared" si="0"/>
        <v>0</v>
      </c>
    </row>
    <row r="24" spans="3:7" ht="15.75" customHeight="1" x14ac:dyDescent="0.45">
      <c r="C24" s="56" t="s">
        <v>384</v>
      </c>
      <c r="D24" s="127">
        <f>F24</f>
        <v>0.80500000000000005</v>
      </c>
      <c r="E24" s="125">
        <f>SUM(E18:E23)</f>
        <v>1</v>
      </c>
      <c r="F24" s="128">
        <f>SUM(F18:F23)</f>
        <v>0.80500000000000005</v>
      </c>
    </row>
    <row r="26" spans="3:7" ht="19.5" customHeight="1" x14ac:dyDescent="0.45">
      <c r="C26" s="213" t="s">
        <v>385</v>
      </c>
      <c r="D26" s="155"/>
      <c r="E26" s="155"/>
      <c r="F26" s="155"/>
      <c r="G26" s="155"/>
    </row>
    <row r="27" spans="3:7" ht="15.75" customHeight="1" x14ac:dyDescent="0.45">
      <c r="C27" s="58" t="s">
        <v>205</v>
      </c>
      <c r="D27" s="62">
        <v>0.88</v>
      </c>
      <c r="E27" s="125">
        <f>Referensi_Threshold!B27</f>
        <v>0.25</v>
      </c>
      <c r="F27" s="126">
        <f>D27*E27</f>
        <v>0.22</v>
      </c>
    </row>
    <row r="28" spans="3:7" ht="15.75" customHeight="1" x14ac:dyDescent="0.45">
      <c r="C28" s="58" t="s">
        <v>207</v>
      </c>
      <c r="D28" s="62">
        <v>0.73</v>
      </c>
      <c r="E28" s="125">
        <f>Referensi_Threshold!B28</f>
        <v>0.3</v>
      </c>
      <c r="F28" s="126">
        <f>D28*E28</f>
        <v>0.219</v>
      </c>
    </row>
    <row r="29" spans="3:7" ht="15.75" customHeight="1" x14ac:dyDescent="0.45">
      <c r="C29" s="58" t="s">
        <v>209</v>
      </c>
      <c r="D29" s="62">
        <v>0.82</v>
      </c>
      <c r="E29" s="125">
        <f>Referensi_Threshold!B29</f>
        <v>0.35</v>
      </c>
      <c r="F29" s="126">
        <f>D29*E29</f>
        <v>0.28699999999999998</v>
      </c>
    </row>
    <row r="30" spans="3:7" ht="15.75" customHeight="1" x14ac:dyDescent="0.45">
      <c r="C30" s="58" t="s">
        <v>211</v>
      </c>
      <c r="D30" s="62">
        <v>0.42</v>
      </c>
      <c r="E30" s="125">
        <f>Referensi_Threshold!B30</f>
        <v>0.1</v>
      </c>
      <c r="F30" s="126">
        <f>D30*E30</f>
        <v>4.2000000000000003E-2</v>
      </c>
    </row>
    <row r="31" spans="3:7" ht="15.75" customHeight="1" x14ac:dyDescent="0.45">
      <c r="C31" s="58" t="s">
        <v>386</v>
      </c>
      <c r="D31" s="62">
        <v>0.4</v>
      </c>
      <c r="E31" s="125">
        <f>Referensi_Threshold!B31</f>
        <v>0</v>
      </c>
      <c r="F31" s="126">
        <f>D31*E31</f>
        <v>0</v>
      </c>
    </row>
    <row r="32" spans="3:7" ht="15.75" customHeight="1" x14ac:dyDescent="0.45">
      <c r="C32" s="56" t="s">
        <v>387</v>
      </c>
      <c r="D32" s="127">
        <f>F32</f>
        <v>0.76800000000000002</v>
      </c>
      <c r="E32" s="125">
        <f>SUM(E27:E31)</f>
        <v>1</v>
      </c>
      <c r="F32" s="128">
        <f>SUM(F27:F31)</f>
        <v>0.76800000000000002</v>
      </c>
    </row>
    <row r="33" spans="3:7" ht="15.75" customHeight="1" x14ac:dyDescent="0.45">
      <c r="C33" s="58" t="s">
        <v>388</v>
      </c>
      <c r="D33" s="62">
        <v>5.8000000000000003E-2</v>
      </c>
    </row>
    <row r="35" spans="3:7" ht="19.5" customHeight="1" x14ac:dyDescent="0.45">
      <c r="C35" s="213" t="s">
        <v>389</v>
      </c>
      <c r="D35" s="155"/>
      <c r="E35" s="155"/>
      <c r="F35" s="155"/>
      <c r="G35" s="155"/>
    </row>
    <row r="36" spans="3:7" ht="15.75" customHeight="1" x14ac:dyDescent="0.45">
      <c r="C36" s="58" t="s">
        <v>214</v>
      </c>
      <c r="D36" s="62">
        <v>0.6</v>
      </c>
      <c r="E36" s="125">
        <f>Referensi_Threshold!B34</f>
        <v>0.2</v>
      </c>
      <c r="F36" s="126">
        <f t="shared" ref="F36:F41" si="1">D36*E36</f>
        <v>0.12</v>
      </c>
    </row>
    <row r="37" spans="3:7" ht="15.75" customHeight="1" x14ac:dyDescent="0.45">
      <c r="C37" s="58" t="s">
        <v>216</v>
      </c>
      <c r="D37" s="62">
        <v>0.6</v>
      </c>
      <c r="E37" s="125">
        <f>Referensi_Threshold!B35</f>
        <v>0.2</v>
      </c>
      <c r="F37" s="126">
        <f t="shared" si="1"/>
        <v>0.12</v>
      </c>
    </row>
    <row r="38" spans="3:7" ht="15.75" customHeight="1" x14ac:dyDescent="0.45">
      <c r="C38" s="58" t="s">
        <v>218</v>
      </c>
      <c r="D38" s="62">
        <v>0.8</v>
      </c>
      <c r="E38" s="125">
        <f>Referensi_Threshold!B36</f>
        <v>0.15</v>
      </c>
      <c r="F38" s="126">
        <f t="shared" si="1"/>
        <v>0.12</v>
      </c>
    </row>
    <row r="39" spans="3:7" ht="15.75" customHeight="1" x14ac:dyDescent="0.45">
      <c r="C39" s="58" t="s">
        <v>220</v>
      </c>
      <c r="D39" s="62">
        <v>0.8</v>
      </c>
      <c r="E39" s="125">
        <f>Referensi_Threshold!B37</f>
        <v>0.2</v>
      </c>
      <c r="F39" s="126">
        <f t="shared" si="1"/>
        <v>0.16000000000000003</v>
      </c>
    </row>
    <row r="40" spans="3:7" ht="15.75" customHeight="1" x14ac:dyDescent="0.45">
      <c r="C40" s="58" t="s">
        <v>222</v>
      </c>
      <c r="D40" s="62">
        <v>0.4</v>
      </c>
      <c r="E40" s="125">
        <f>Referensi_Threshold!B38</f>
        <v>0.25</v>
      </c>
      <c r="F40" s="126">
        <f t="shared" si="1"/>
        <v>0.1</v>
      </c>
    </row>
    <row r="41" spans="3:7" ht="15.75" customHeight="1" x14ac:dyDescent="0.45">
      <c r="C41" s="58" t="s">
        <v>390</v>
      </c>
      <c r="D41" s="62">
        <v>0.5</v>
      </c>
      <c r="E41" s="125">
        <f>Referensi_Threshold!B39</f>
        <v>0</v>
      </c>
      <c r="F41" s="126">
        <f t="shared" si="1"/>
        <v>0</v>
      </c>
    </row>
    <row r="42" spans="3:7" ht="15.75" customHeight="1" x14ac:dyDescent="0.45">
      <c r="C42" s="56" t="s">
        <v>391</v>
      </c>
      <c r="D42" s="127">
        <f>F42</f>
        <v>0.62</v>
      </c>
      <c r="E42" s="125">
        <f>SUM(E36:E41)</f>
        <v>1</v>
      </c>
      <c r="F42" s="128">
        <f>SUM(F36:F41)</f>
        <v>0.62</v>
      </c>
    </row>
    <row r="44" spans="3:7" ht="19.5" customHeight="1" x14ac:dyDescent="0.45">
      <c r="C44" s="213" t="s">
        <v>392</v>
      </c>
      <c r="D44" s="155"/>
      <c r="E44" s="155"/>
      <c r="F44" s="155"/>
      <c r="G44" s="155"/>
    </row>
    <row r="45" spans="3:7" ht="15.75" customHeight="1" x14ac:dyDescent="0.45">
      <c r="C45" s="58" t="s">
        <v>393</v>
      </c>
      <c r="D45" s="107">
        <f>D24*100</f>
        <v>80.5</v>
      </c>
      <c r="E45" s="129">
        <f>Config!B21</f>
        <v>0.4</v>
      </c>
    </row>
    <row r="46" spans="3:7" ht="15.75" customHeight="1" x14ac:dyDescent="0.45">
      <c r="C46" s="58" t="s">
        <v>394</v>
      </c>
      <c r="D46" s="107">
        <f>D32*100</f>
        <v>76.8</v>
      </c>
      <c r="E46" s="129">
        <f>Config!B22</f>
        <v>0.4</v>
      </c>
    </row>
    <row r="47" spans="3:7" ht="15.75" customHeight="1" x14ac:dyDescent="0.45">
      <c r="C47" s="58" t="s">
        <v>395</v>
      </c>
      <c r="D47" s="107">
        <f>D42*100</f>
        <v>62</v>
      </c>
      <c r="E47" s="129">
        <f>Config!B23</f>
        <v>0.2</v>
      </c>
    </row>
    <row r="48" spans="3:7" ht="15.75" customHeight="1" x14ac:dyDescent="0.45">
      <c r="C48" s="56" t="s">
        <v>396</v>
      </c>
      <c r="D48" s="108">
        <f>(D45*E45)+(D46*E46)+(D47*E47)</f>
        <v>75.320000000000007</v>
      </c>
    </row>
    <row r="49" spans="3:7" ht="15.75" customHeight="1" x14ac:dyDescent="0.45">
      <c r="C49" s="56" t="s">
        <v>397</v>
      </c>
      <c r="D49" s="64" t="str">
        <f>IF(D48&lt;=20,"Low",IF(D48&lt;=44,"Low to Moderate",IF(D48&lt;=60,"Moderate",IF(D48&lt;=76,"Moderate to High","High"))))</f>
        <v>Moderate to High</v>
      </c>
    </row>
    <row r="51" spans="3:7" ht="19.5" customHeight="1" x14ac:dyDescent="0.45">
      <c r="C51" s="213" t="s">
        <v>398</v>
      </c>
      <c r="D51" s="155"/>
      <c r="E51" s="155"/>
      <c r="F51" s="155"/>
      <c r="G51" s="155"/>
    </row>
    <row r="52" spans="3:7" ht="15.75" customHeight="1" x14ac:dyDescent="0.45">
      <c r="C52" s="86" t="s">
        <v>22</v>
      </c>
      <c r="D52" s="65">
        <v>5</v>
      </c>
    </row>
    <row r="53" spans="3:7" ht="15.75" customHeight="1" x14ac:dyDescent="0.45">
      <c r="C53" s="87" t="s">
        <v>25</v>
      </c>
      <c r="D53" s="65">
        <v>11</v>
      </c>
    </row>
    <row r="54" spans="3:7" ht="15.75" customHeight="1" x14ac:dyDescent="0.45">
      <c r="C54" s="88" t="s">
        <v>28</v>
      </c>
      <c r="D54" s="65">
        <v>18</v>
      </c>
    </row>
    <row r="55" spans="3:7" ht="15.75" customHeight="1" x14ac:dyDescent="0.45">
      <c r="C55" s="89" t="s">
        <v>31</v>
      </c>
      <c r="D55" s="65">
        <v>4</v>
      </c>
    </row>
    <row r="56" spans="3:7" ht="15.75" customHeight="1" x14ac:dyDescent="0.45">
      <c r="C56" s="85" t="s">
        <v>32</v>
      </c>
      <c r="D56" s="65">
        <v>3</v>
      </c>
    </row>
    <row r="57" spans="3:7" x14ac:dyDescent="0.45">
      <c r="C57" s="90" t="s">
        <v>33</v>
      </c>
      <c r="D57" s="91">
        <f>SUM(D52:D56)</f>
        <v>41</v>
      </c>
    </row>
    <row r="58" spans="3:7" ht="19.5" customHeight="1" x14ac:dyDescent="0.45">
      <c r="C58" s="155"/>
      <c r="D58" s="155"/>
      <c r="E58" s="155"/>
      <c r="F58" s="155"/>
      <c r="G58" s="155"/>
    </row>
    <row r="59" spans="3:7" ht="15.75" customHeight="1" x14ac:dyDescent="0.45">
      <c r="C59" s="213" t="s">
        <v>399</v>
      </c>
      <c r="D59" s="155"/>
      <c r="E59" s="155"/>
      <c r="F59" s="155"/>
      <c r="G59" s="155"/>
    </row>
    <row r="60" spans="3:7" ht="15.75" customHeight="1" x14ac:dyDescent="0.45">
      <c r="C60" s="58" t="s">
        <v>400</v>
      </c>
      <c r="D60" s="62">
        <v>0.82</v>
      </c>
      <c r="E60" s="58" t="s">
        <v>401</v>
      </c>
      <c r="F60" s="65">
        <v>2</v>
      </c>
    </row>
    <row r="61" spans="3:7" ht="15.75" customHeight="1" x14ac:dyDescent="0.45">
      <c r="C61" s="58" t="s">
        <v>402</v>
      </c>
      <c r="D61" s="62">
        <v>0.18</v>
      </c>
      <c r="E61" s="58" t="s">
        <v>403</v>
      </c>
      <c r="F61" s="65">
        <v>3</v>
      </c>
    </row>
    <row r="62" spans="3:7" ht="15.75" customHeight="1" x14ac:dyDescent="0.45">
      <c r="C62" s="58" t="s">
        <v>404</v>
      </c>
      <c r="D62" s="62">
        <v>0.76</v>
      </c>
      <c r="E62" s="58" t="s">
        <v>405</v>
      </c>
      <c r="F62" s="65">
        <v>5</v>
      </c>
    </row>
    <row r="63" spans="3:7" ht="38.25" customHeight="1" x14ac:dyDescent="0.45">
      <c r="C63" s="58" t="s">
        <v>39</v>
      </c>
      <c r="D63" s="65">
        <v>5</v>
      </c>
      <c r="E63" s="58" t="s">
        <v>406</v>
      </c>
      <c r="F63" s="65">
        <v>4</v>
      </c>
    </row>
    <row r="64" spans="3:7" ht="19.5" customHeight="1" x14ac:dyDescent="0.45">
      <c r="C64" s="155"/>
      <c r="D64" s="155"/>
      <c r="E64" s="155"/>
      <c r="F64" s="155"/>
      <c r="G64" s="155"/>
    </row>
    <row r="65" spans="3:9" ht="15.75" customHeight="1" x14ac:dyDescent="0.45">
      <c r="C65" s="213" t="s">
        <v>407</v>
      </c>
      <c r="D65" s="155"/>
      <c r="E65" s="155"/>
      <c r="F65" s="155"/>
      <c r="G65" s="155"/>
    </row>
    <row r="66" spans="3:9" ht="15.75" customHeight="1" x14ac:dyDescent="0.45">
      <c r="C66" s="14" t="s">
        <v>408</v>
      </c>
      <c r="D66" s="14" t="s">
        <v>409</v>
      </c>
      <c r="E66" s="14" t="s">
        <v>410</v>
      </c>
      <c r="F66" s="66" t="s">
        <v>411</v>
      </c>
      <c r="G66" s="66" t="s">
        <v>412</v>
      </c>
      <c r="H66" s="66" t="s">
        <v>413</v>
      </c>
    </row>
    <row r="67" spans="3:9" ht="15.75" customHeight="1" x14ac:dyDescent="0.45">
      <c r="C67" s="58" t="s">
        <v>414</v>
      </c>
      <c r="D67" s="132" t="s">
        <v>415</v>
      </c>
      <c r="E67" s="133">
        <v>46113</v>
      </c>
      <c r="F67" s="113">
        <v>46096</v>
      </c>
      <c r="G67" s="68" t="s">
        <v>416</v>
      </c>
      <c r="H67" s="69" t="str">
        <f>IF(E67&gt;=F67,"Aman",IF(E67&gt;=G67,"Waspada","Bahaya"))</f>
        <v>Aman</v>
      </c>
    </row>
    <row r="68" spans="3:9" ht="15.75" customHeight="1" x14ac:dyDescent="0.45">
      <c r="C68" s="58" t="s">
        <v>417</v>
      </c>
      <c r="D68" s="67" t="s">
        <v>418</v>
      </c>
      <c r="E68" s="62">
        <v>0.88</v>
      </c>
      <c r="F68" s="70">
        <v>0.9</v>
      </c>
      <c r="G68" s="70" t="s">
        <v>419</v>
      </c>
      <c r="H68" s="69" t="str">
        <f>IF(E68&gt;=F68,"Aman",IF(E68&gt;=G68,"Waspada","Bahaya"))</f>
        <v>Bahaya</v>
      </c>
    </row>
    <row r="69" spans="3:9" ht="15.75" customHeight="1" x14ac:dyDescent="0.45">
      <c r="C69" s="58" t="s">
        <v>420</v>
      </c>
      <c r="D69" s="67" t="s">
        <v>236</v>
      </c>
      <c r="E69" s="63">
        <v>0.6</v>
      </c>
      <c r="F69" s="71">
        <v>0.7</v>
      </c>
      <c r="G69" s="71" t="s">
        <v>419</v>
      </c>
      <c r="H69" s="69" t="str">
        <f>IF(E69&gt;=F69,"Aman",IF(E69&gt;=G69,"Waspada","Bahaya"))</f>
        <v>Bahaya</v>
      </c>
    </row>
    <row r="71" spans="3:9" ht="19.5" customHeight="1" x14ac:dyDescent="0.45">
      <c r="C71" s="155"/>
      <c r="D71" s="155"/>
      <c r="E71" s="155"/>
      <c r="F71" s="155"/>
      <c r="G71" s="155"/>
    </row>
    <row r="72" spans="3:9" ht="15.75" customHeight="1" x14ac:dyDescent="0.45">
      <c r="C72" s="213" t="s">
        <v>421</v>
      </c>
      <c r="D72" s="155"/>
      <c r="E72" s="155"/>
      <c r="F72" s="155"/>
      <c r="G72" s="155"/>
    </row>
    <row r="73" spans="3:9" ht="15.75" customHeight="1" x14ac:dyDescent="0.45">
      <c r="C73" s="84" t="s">
        <v>422</v>
      </c>
    </row>
    <row r="74" spans="3:9" ht="27.75" customHeight="1" x14ac:dyDescent="0.45">
      <c r="C74" s="9" t="s">
        <v>423</v>
      </c>
      <c r="D74" s="9" t="s">
        <v>424</v>
      </c>
      <c r="E74" s="9" t="s">
        <v>264</v>
      </c>
      <c r="F74" s="9" t="s">
        <v>313</v>
      </c>
      <c r="G74" s="9" t="s">
        <v>314</v>
      </c>
      <c r="H74" s="9" t="s">
        <v>425</v>
      </c>
      <c r="I74" s="9" t="s">
        <v>426</v>
      </c>
    </row>
    <row r="75" spans="3:9" ht="27.75" customHeight="1" x14ac:dyDescent="0.45">
      <c r="C75" s="72" t="s">
        <v>427</v>
      </c>
      <c r="D75" s="73" t="s">
        <v>428</v>
      </c>
      <c r="E75" s="37" t="s">
        <v>429</v>
      </c>
      <c r="F75" s="65">
        <v>4</v>
      </c>
      <c r="G75" s="65">
        <v>5</v>
      </c>
      <c r="H75" s="10">
        <f>INDEX(Referensi_Threshold!$D$90:$D$114,MATCH(F75*10+G75,Referensi_Threshold!$A$90:$A$114,0))</f>
        <v>24</v>
      </c>
      <c r="I75" s="64" t="str">
        <f>INDEX(Referensi_Threshold!$E$90:$E$114,MATCH(F75*10+G75,Referensi_Threshold!$A$90:$A$114,0))</f>
        <v>High</v>
      </c>
    </row>
    <row r="76" spans="3:9" ht="27.75" customHeight="1" x14ac:dyDescent="0.45">
      <c r="C76" s="72" t="s">
        <v>430</v>
      </c>
      <c r="D76" s="73" t="s">
        <v>431</v>
      </c>
      <c r="E76" s="37" t="s">
        <v>432</v>
      </c>
      <c r="F76" s="65">
        <v>5</v>
      </c>
      <c r="G76" s="65">
        <v>5</v>
      </c>
      <c r="H76" s="10">
        <f>INDEX(Referensi_Threshold!$D$90:$D$114,MATCH(F76*10+G76,Referensi_Threshold!$A$90:$A$114,0))</f>
        <v>25</v>
      </c>
      <c r="I76" s="64" t="str">
        <f>INDEX(Referensi_Threshold!$E$90:$E$114,MATCH(F76*10+G76,Referensi_Threshold!$A$90:$A$114,0))</f>
        <v>High</v>
      </c>
    </row>
    <row r="77" spans="3:9" ht="27.75" customHeight="1" x14ac:dyDescent="0.45">
      <c r="C77" s="72" t="s">
        <v>433</v>
      </c>
      <c r="D77" s="73" t="s">
        <v>434</v>
      </c>
      <c r="E77" s="37" t="s">
        <v>432</v>
      </c>
      <c r="F77" s="65">
        <v>4</v>
      </c>
      <c r="G77" s="65">
        <v>4</v>
      </c>
      <c r="H77" s="10">
        <f>INDEX(Referensi_Threshold!$D$90:$D$114,MATCH(F77*10+G77,Referensi_Threshold!$A$90:$A$114,0))</f>
        <v>19</v>
      </c>
      <c r="I77" s="64" t="str">
        <f>INDEX(Referensi_Threshold!$E$90:$E$114,MATCH(F77*10+G77,Referensi_Threshold!$A$90:$A$114,0))</f>
        <v>Moderate to High</v>
      </c>
    </row>
    <row r="78" spans="3:9" ht="23.25" customHeight="1" x14ac:dyDescent="0.45">
      <c r="C78" s="72" t="s">
        <v>435</v>
      </c>
      <c r="D78" s="73" t="s">
        <v>436</v>
      </c>
      <c r="E78" s="37" t="s">
        <v>437</v>
      </c>
      <c r="F78" s="65">
        <v>3</v>
      </c>
      <c r="G78" s="65">
        <v>3</v>
      </c>
      <c r="H78" s="10">
        <f>INDEX(Referensi_Threshold!$D$90:$D$114,MATCH(F78*10+G78,Referensi_Threshold!$A$90:$A$114,0))</f>
        <v>13</v>
      </c>
      <c r="I78" s="64" t="str">
        <f>INDEX(Referensi_Threshold!$E$90:$E$114,MATCH(F78*10+G78,Referensi_Threshold!$A$90:$A$114,0))</f>
        <v>Moderate</v>
      </c>
    </row>
  </sheetData>
  <mergeCells count="13">
    <mergeCell ref="C3:G3"/>
    <mergeCell ref="C64:G64"/>
    <mergeCell ref="C26:G26"/>
    <mergeCell ref="C35:G35"/>
    <mergeCell ref="C59:G59"/>
    <mergeCell ref="C7:G7"/>
    <mergeCell ref="C17:G17"/>
    <mergeCell ref="C65:G65"/>
    <mergeCell ref="C72:G72"/>
    <mergeCell ref="C58:G58"/>
    <mergeCell ref="C51:G51"/>
    <mergeCell ref="C44:G44"/>
    <mergeCell ref="C71:G7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392B"/>
  </sheetPr>
  <dimension ref="B2:Z27"/>
  <sheetViews>
    <sheetView showGridLines="0" zoomScale="85" zoomScaleNormal="85" workbookViewId="0">
      <selection activeCell="D8" sqref="D8"/>
    </sheetView>
  </sheetViews>
  <sheetFormatPr defaultColWidth="8.59765625" defaultRowHeight="14.25" x14ac:dyDescent="0.45"/>
  <cols>
    <col min="1" max="1" width="2" customWidth="1"/>
    <col min="2" max="2" width="26.53125" bestFit="1" customWidth="1"/>
    <col min="3" max="3" width="26" customWidth="1"/>
    <col min="4" max="4" width="18" customWidth="1"/>
    <col min="5" max="5" width="38" customWidth="1"/>
    <col min="6" max="6" width="24" customWidth="1"/>
    <col min="7" max="7" width="36" customWidth="1"/>
    <col min="8" max="8" width="25" customWidth="1"/>
    <col min="26" max="26" width="17.265625" bestFit="1" customWidth="1"/>
  </cols>
  <sheetData>
    <row r="2" spans="2:26" ht="19.5" customHeight="1" x14ac:dyDescent="0.5">
      <c r="B2" s="214" t="s">
        <v>438</v>
      </c>
      <c r="C2" s="155"/>
      <c r="D2" s="155"/>
      <c r="E2" s="155"/>
      <c r="F2" s="155"/>
      <c r="G2" s="155"/>
    </row>
    <row r="3" spans="2:26" ht="15.75" customHeight="1" x14ac:dyDescent="0.45">
      <c r="B3" s="209" t="s">
        <v>439</v>
      </c>
      <c r="C3" s="155"/>
      <c r="D3" s="155"/>
      <c r="E3" s="155"/>
      <c r="F3" s="155"/>
      <c r="G3" s="155"/>
    </row>
    <row r="5" spans="2:26" ht="30" customHeight="1" x14ac:dyDescent="0.45">
      <c r="B5" s="74" t="s">
        <v>440</v>
      </c>
      <c r="C5" s="74" t="s">
        <v>441</v>
      </c>
      <c r="D5" s="74" t="s">
        <v>442</v>
      </c>
      <c r="E5" s="74" t="s">
        <v>443</v>
      </c>
      <c r="F5" s="74" t="s">
        <v>444</v>
      </c>
      <c r="G5" s="74" t="s">
        <v>445</v>
      </c>
      <c r="H5" s="130" t="s">
        <v>446</v>
      </c>
      <c r="Z5" t="s">
        <v>447</v>
      </c>
    </row>
    <row r="6" spans="2:26" ht="73.5" customHeight="1" x14ac:dyDescent="0.45">
      <c r="B6" s="75" t="s">
        <v>448</v>
      </c>
      <c r="C6" s="76" t="s">
        <v>449</v>
      </c>
      <c r="D6" s="77" t="s">
        <v>450</v>
      </c>
      <c r="E6" s="76" t="s">
        <v>451</v>
      </c>
      <c r="F6" s="76" t="s">
        <v>452</v>
      </c>
      <c r="G6" s="76" t="s">
        <v>453</v>
      </c>
      <c r="H6" s="131">
        <v>1</v>
      </c>
      <c r="Z6" s="76">
        <f t="shared" ref="Z6:Z15" si="0">IF(D6="","", IF(ISNUMBER(SEARCH("Moderate to High", D6)), 40, IF(ISNUMBER(SEARCH("High", D6)), 50, IF(ISNUMBER(SEARCH("Low to Moderate", D6)), 20, IF(ISNUMBER(SEARCH("Moderate", D6)), 30, 10)))) + (1/ROW()))</f>
        <v>50.166666666666664</v>
      </c>
    </row>
    <row r="7" spans="2:26" ht="73.5" customHeight="1" x14ac:dyDescent="0.45">
      <c r="B7" s="75" t="s">
        <v>454</v>
      </c>
      <c r="C7" s="76" t="s">
        <v>455</v>
      </c>
      <c r="D7" s="78" t="s">
        <v>456</v>
      </c>
      <c r="E7" s="76" t="s">
        <v>457</v>
      </c>
      <c r="F7" s="76" t="s">
        <v>458</v>
      </c>
      <c r="G7" s="76" t="s">
        <v>459</v>
      </c>
      <c r="H7" s="131">
        <v>2</v>
      </c>
      <c r="Z7" s="76">
        <f t="shared" si="0"/>
        <v>40.142857142857146</v>
      </c>
    </row>
    <row r="8" spans="2:26" ht="73.5" customHeight="1" x14ac:dyDescent="0.45">
      <c r="B8" s="75" t="s">
        <v>460</v>
      </c>
      <c r="C8" s="76" t="s">
        <v>461</v>
      </c>
      <c r="D8" s="78" t="s">
        <v>462</v>
      </c>
      <c r="E8" s="76" t="s">
        <v>463</v>
      </c>
      <c r="F8" s="76" t="s">
        <v>464</v>
      </c>
      <c r="G8" s="76" t="s">
        <v>465</v>
      </c>
      <c r="H8" s="131">
        <v>3</v>
      </c>
      <c r="Z8" s="76">
        <f t="shared" si="0"/>
        <v>40.125</v>
      </c>
    </row>
    <row r="9" spans="2:26" ht="73.5" customHeight="1" x14ac:dyDescent="0.45">
      <c r="B9" s="75" t="s">
        <v>466</v>
      </c>
      <c r="C9" s="76" t="s">
        <v>467</v>
      </c>
      <c r="D9" s="79" t="s">
        <v>468</v>
      </c>
      <c r="E9" s="76" t="s">
        <v>469</v>
      </c>
      <c r="F9" s="76" t="s">
        <v>470</v>
      </c>
      <c r="G9" s="76" t="s">
        <v>471</v>
      </c>
      <c r="H9" s="131">
        <v>4</v>
      </c>
      <c r="Z9" s="76">
        <f t="shared" si="0"/>
        <v>30.111111111111111</v>
      </c>
    </row>
    <row r="10" spans="2:26" ht="73.5" customHeight="1" x14ac:dyDescent="0.45">
      <c r="B10" s="75" t="s">
        <v>472</v>
      </c>
      <c r="C10" s="76" t="s">
        <v>473</v>
      </c>
      <c r="D10" s="79" t="s">
        <v>474</v>
      </c>
      <c r="E10" s="76" t="s">
        <v>475</v>
      </c>
      <c r="F10" s="76" t="s">
        <v>476</v>
      </c>
      <c r="G10" s="76" t="s">
        <v>477</v>
      </c>
      <c r="H10" s="131">
        <v>5</v>
      </c>
      <c r="Z10" s="76">
        <f t="shared" si="0"/>
        <v>30.1</v>
      </c>
    </row>
    <row r="11" spans="2:26" x14ac:dyDescent="0.45">
      <c r="Z11" s="111" t="str">
        <f t="shared" si="0"/>
        <v/>
      </c>
    </row>
    <row r="12" spans="2:26" ht="15" customHeight="1" x14ac:dyDescent="0.45">
      <c r="B12" s="217" t="s">
        <v>478</v>
      </c>
      <c r="C12" s="155"/>
      <c r="D12" s="155"/>
      <c r="E12" s="155"/>
      <c r="F12" s="155"/>
      <c r="G12" s="155"/>
      <c r="Z12" s="111" t="str">
        <f t="shared" si="0"/>
        <v/>
      </c>
    </row>
    <row r="13" spans="2:26" ht="15" customHeight="1" x14ac:dyDescent="0.45">
      <c r="B13" s="155"/>
      <c r="C13" s="155"/>
      <c r="D13" s="155"/>
      <c r="E13" s="155"/>
      <c r="F13" s="155"/>
      <c r="G13" s="155"/>
      <c r="Z13" s="111" t="str">
        <f t="shared" si="0"/>
        <v/>
      </c>
    </row>
    <row r="14" spans="2:26" ht="15" customHeight="1" x14ac:dyDescent="0.45">
      <c r="B14" s="155"/>
      <c r="C14" s="155"/>
      <c r="D14" s="155"/>
      <c r="E14" s="155"/>
      <c r="F14" s="155"/>
      <c r="G14" s="155"/>
      <c r="Z14" s="111" t="str">
        <f t="shared" si="0"/>
        <v/>
      </c>
    </row>
    <row r="15" spans="2:26" x14ac:dyDescent="0.45">
      <c r="Z15" s="111" t="str">
        <f t="shared" si="0"/>
        <v/>
      </c>
    </row>
    <row r="16" spans="2:26" ht="18" customHeight="1" x14ac:dyDescent="0.45">
      <c r="B16" s="216" t="s">
        <v>479</v>
      </c>
      <c r="C16" s="155"/>
      <c r="D16" s="155"/>
      <c r="E16" s="155"/>
      <c r="F16" s="155"/>
      <c r="G16" s="155"/>
    </row>
    <row r="17" spans="2:7" ht="27.75" customHeight="1" x14ac:dyDescent="0.45">
      <c r="B17" s="80" t="s">
        <v>401</v>
      </c>
      <c r="C17" s="81">
        <f>Input_Bulanan!F60</f>
        <v>2</v>
      </c>
      <c r="D17" s="215" t="s">
        <v>480</v>
      </c>
      <c r="E17" s="136"/>
      <c r="F17" s="136"/>
      <c r="G17" s="137"/>
    </row>
    <row r="18" spans="2:7" ht="27.75" customHeight="1" x14ac:dyDescent="0.45">
      <c r="B18" s="80" t="s">
        <v>403</v>
      </c>
      <c r="C18" s="81">
        <f>Input_Bulanan!F61</f>
        <v>3</v>
      </c>
      <c r="D18" s="215" t="s">
        <v>481</v>
      </c>
      <c r="E18" s="136"/>
      <c r="F18" s="136"/>
      <c r="G18" s="137"/>
    </row>
    <row r="19" spans="2:7" ht="27.75" customHeight="1" x14ac:dyDescent="0.45">
      <c r="B19" s="80" t="s">
        <v>405</v>
      </c>
      <c r="C19" s="81">
        <f>Input_Bulanan!F62</f>
        <v>5</v>
      </c>
      <c r="D19" s="215" t="s">
        <v>482</v>
      </c>
      <c r="E19" s="136"/>
      <c r="F19" s="136"/>
      <c r="G19" s="137"/>
    </row>
    <row r="20" spans="2:7" ht="27.75" customHeight="1" x14ac:dyDescent="0.45">
      <c r="B20" s="80" t="s">
        <v>406</v>
      </c>
      <c r="C20" s="81">
        <f>Input_Bulanan!F63</f>
        <v>4</v>
      </c>
      <c r="D20" s="215" t="s">
        <v>483</v>
      </c>
      <c r="E20" s="136"/>
      <c r="F20" s="136"/>
      <c r="G20" s="137"/>
    </row>
    <row r="22" spans="2:7" ht="18" customHeight="1" x14ac:dyDescent="0.45">
      <c r="B22" s="216" t="s">
        <v>484</v>
      </c>
      <c r="C22" s="155"/>
      <c r="D22" s="155"/>
      <c r="E22" s="155"/>
      <c r="F22" s="155"/>
      <c r="G22" s="155"/>
    </row>
    <row r="23" spans="2:7" ht="15" customHeight="1" x14ac:dyDescent="0.45">
      <c r="B23" s="11" t="s">
        <v>423</v>
      </c>
      <c r="C23" s="11" t="s">
        <v>485</v>
      </c>
      <c r="D23" s="11" t="s">
        <v>264</v>
      </c>
      <c r="E23" s="11" t="s">
        <v>486</v>
      </c>
      <c r="F23" s="11" t="s">
        <v>487</v>
      </c>
      <c r="G23" s="11" t="s">
        <v>488</v>
      </c>
    </row>
    <row r="24" spans="2:7" ht="25.5" customHeight="1" x14ac:dyDescent="0.45">
      <c r="B24" s="72" t="str">
        <f>Input_Bulanan!C75</f>
        <v>C1</v>
      </c>
      <c r="C24" s="73" t="str">
        <f>Input_Bulanan!D75</f>
        <v>Salt Supply Disruption (gangguan pasokan garam industri)</v>
      </c>
      <c r="D24" s="37" t="str">
        <f>Input_Bulanan!E75</f>
        <v>Hulu / Supply</v>
      </c>
      <c r="E24" s="82">
        <f>Input_Bulanan!F75</f>
        <v>4</v>
      </c>
      <c r="F24" s="82">
        <f>Input_Bulanan!G75</f>
        <v>5</v>
      </c>
      <c r="G24" s="83" t="str">
        <f>Input_Bulanan!H75 &amp; "  |  " &amp; Input_Bulanan!I75</f>
        <v>24  |  High</v>
      </c>
    </row>
    <row r="25" spans="2:7" ht="25.5" customHeight="1" x14ac:dyDescent="0.45">
      <c r="B25" s="72" t="str">
        <f>Input_Bulanan!C76</f>
        <v>C2</v>
      </c>
      <c r="C25" s="73" t="str">
        <f>Input_Bulanan!D76</f>
        <v>Commissioning Delay (keterlambatan commissioning)</v>
      </c>
      <c r="D25" s="37" t="str">
        <f>Input_Bulanan!E76</f>
        <v>Eksekusi</v>
      </c>
      <c r="E25" s="82">
        <f>Input_Bulanan!F76</f>
        <v>5</v>
      </c>
      <c r="F25" s="82">
        <f>Input_Bulanan!G76</f>
        <v>5</v>
      </c>
      <c r="G25" s="83" t="str">
        <f>Input_Bulanan!H76 &amp; "  |  " &amp; Input_Bulanan!I76</f>
        <v>25  |  High</v>
      </c>
    </row>
    <row r="26" spans="2:7" ht="25.5" customHeight="1" x14ac:dyDescent="0.45">
      <c r="B26" s="72" t="str">
        <f>Input_Bulanan!C77</f>
        <v>C3</v>
      </c>
      <c r="C26" s="73" t="str">
        <f>Input_Bulanan!D77</f>
        <v>EPC Interface Issue (isu EPC interface lintas kontraktor)</v>
      </c>
      <c r="D26" s="37" t="str">
        <f>Input_Bulanan!E77</f>
        <v>Eksekusi</v>
      </c>
      <c r="E26" s="82">
        <f>Input_Bulanan!F77</f>
        <v>4</v>
      </c>
      <c r="F26" s="82">
        <f>Input_Bulanan!G77</f>
        <v>4</v>
      </c>
      <c r="G26" s="83" t="str">
        <f>Input_Bulanan!H77 &amp; "  |  " &amp; Input_Bulanan!I77</f>
        <v>19  |  Moderate to High</v>
      </c>
    </row>
    <row r="27" spans="2:7" ht="25.5" customHeight="1" x14ac:dyDescent="0.45">
      <c r="B27" s="72" t="str">
        <f>Input_Bulanan!C78</f>
        <v>C4</v>
      </c>
      <c r="C27" s="73" t="str">
        <f>Input_Bulanan!D78</f>
        <v>Long Lead Equipment (keterlambatan peralatan utama)</v>
      </c>
      <c r="D27" s="37" t="str">
        <f>Input_Bulanan!E78</f>
        <v>Pengadaan</v>
      </c>
      <c r="E27" s="82">
        <f>Input_Bulanan!F78</f>
        <v>3</v>
      </c>
      <c r="F27" s="82">
        <f>Input_Bulanan!G78</f>
        <v>3</v>
      </c>
      <c r="G27" s="83" t="str">
        <f>Input_Bulanan!H78 &amp; "  |  " &amp; Input_Bulanan!I78</f>
        <v>13  |  Moderate</v>
      </c>
    </row>
  </sheetData>
  <mergeCells count="9">
    <mergeCell ref="B2:G2"/>
    <mergeCell ref="D18:G18"/>
    <mergeCell ref="B16:G16"/>
    <mergeCell ref="D17:G17"/>
    <mergeCell ref="B22:G22"/>
    <mergeCell ref="D20:G20"/>
    <mergeCell ref="D19:G19"/>
    <mergeCell ref="B12:G14"/>
    <mergeCell ref="B3:G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Config</vt:lpstr>
      <vt:lpstr>Panduan</vt:lpstr>
      <vt:lpstr>Dashboard</vt:lpstr>
      <vt:lpstr>Referensi_Threshold</vt:lpstr>
      <vt:lpstr>Input_Bulanan</vt:lpstr>
      <vt:lpstr>Risk_Action_Tracker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Jezando W</cp:lastModifiedBy>
  <cp:revision>0</cp:revision>
  <dcterms:created xsi:type="dcterms:W3CDTF">2026-07-02T19:04:54Z</dcterms:created>
  <dcterms:modified xsi:type="dcterms:W3CDTF">2026-07-23T02:12:23Z</dcterms:modified>
  <dc:language>en-US</dc:language>
</cp:coreProperties>
</file>